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0" yWindow="570" windowWidth="14055" windowHeight="4050"/>
  </bookViews>
  <sheets>
    <sheet name="Sales_Data" sheetId="1" r:id="rId1"/>
    <sheet name="Pivot-Tables" sheetId="2" r:id="rId2"/>
    <sheet name="Pivot table-mothly wise " sheetId="4" r:id="rId3"/>
    <sheet name="DASHBOARD" sheetId="5" r:id="rId4"/>
  </sheets>
  <definedNames>
    <definedName name="_xlnm._FilterDatabase" localSheetId="0" hidden="1">Sales_Data!$A$1:$J$101</definedName>
  </definedNames>
  <calcPr calcId="125725"/>
  <pivotCaches>
    <pivotCache cacheId="0" r:id="rId5"/>
  </pivotCaches>
</workbook>
</file>

<file path=xl/calcChain.xml><?xml version="1.0" encoding="utf-8"?>
<calcChain xmlns="http://schemas.openxmlformats.org/spreadsheetml/2006/main">
  <c r="A4" i="5"/>
  <c r="C3" i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2"/>
  <c r="K2"/>
</calcChain>
</file>

<file path=xl/sharedStrings.xml><?xml version="1.0" encoding="utf-8"?>
<sst xmlns="http://schemas.openxmlformats.org/spreadsheetml/2006/main" count="547" uniqueCount="147">
  <si>
    <t>Order_ID</t>
  </si>
  <si>
    <t>Order_Date</t>
  </si>
  <si>
    <t>Region</t>
  </si>
  <si>
    <t>Salesperson</t>
  </si>
  <si>
    <t>Product</t>
  </si>
  <si>
    <t>Category</t>
  </si>
  <si>
    <t>Units_Sold</t>
  </si>
  <si>
    <t>Unit_Price</t>
  </si>
  <si>
    <t>Total_Sales</t>
  </si>
  <si>
    <t>ORD001</t>
  </si>
  <si>
    <t>Mumbai</t>
  </si>
  <si>
    <t>Rahul</t>
  </si>
  <si>
    <t>Notebook</t>
  </si>
  <si>
    <t>Stationery</t>
  </si>
  <si>
    <t>ORD002</t>
  </si>
  <si>
    <t>Bengaluru</t>
  </si>
  <si>
    <t>Laptop</t>
  </si>
  <si>
    <t>Electronics</t>
  </si>
  <si>
    <t>ORD003</t>
  </si>
  <si>
    <t>Sneha</t>
  </si>
  <si>
    <t>ORD004</t>
  </si>
  <si>
    <t>Meena</t>
  </si>
  <si>
    <t>ORD005</t>
  </si>
  <si>
    <t>Mouse</t>
  </si>
  <si>
    <t>ORD006</t>
  </si>
  <si>
    <t>Kiran</t>
  </si>
  <si>
    <t>ORD007</t>
  </si>
  <si>
    <t>Hyderabad</t>
  </si>
  <si>
    <t>Priya</t>
  </si>
  <si>
    <t>Keyboard</t>
  </si>
  <si>
    <t>ORD008</t>
  </si>
  <si>
    <t>Chennai</t>
  </si>
  <si>
    <t>Table</t>
  </si>
  <si>
    <t>Furniture</t>
  </si>
  <si>
    <t>ORD009</t>
  </si>
  <si>
    <t>ORD010</t>
  </si>
  <si>
    <t>Delhi</t>
  </si>
  <si>
    <t>ORD011</t>
  </si>
  <si>
    <t>ORD012</t>
  </si>
  <si>
    <t>Chair</t>
  </si>
  <si>
    <t>ORD013</t>
  </si>
  <si>
    <t>ORD014</t>
  </si>
  <si>
    <t>ORD015</t>
  </si>
  <si>
    <t>ORD016</t>
  </si>
  <si>
    <t>ORD017</t>
  </si>
  <si>
    <t>ORD018</t>
  </si>
  <si>
    <t>ORD019</t>
  </si>
  <si>
    <t>Anil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</si>
  <si>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</si>
  <si>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</si>
  <si>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</si>
  <si>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</si>
  <si>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</si>
  <si>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</si>
  <si>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</si>
  <si>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</si>
  <si>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</si>
  <si>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</si>
  <si>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</si>
  <si>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</si>
  <si>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</si>
  <si>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</si>
  <si>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</si>
  <si>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</si>
  <si>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</si>
  <si>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</si>
  <si>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</si>
  <si>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</si>
  <si>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</si>
  <si>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</si>
  <si>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</si>
  <si>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</si>
  <si>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</si>
  <si>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</si>
  <si>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</si>
  <si>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</si>
  <si>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</si>
  <si>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</si>
  <si>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</si>
  <si>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</si>
  <si>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</si>
  <si>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</si>
  <si>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</si>
  <si>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</si>
  <si>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</si>
  <si>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</si>
  <si>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</si>
  <si>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</si>
  <si>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</si>
  <si>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</si>
  <si>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</si>
  <si>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</si>
  <si>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</si>
  <si>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</si>
  <si>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</si>
  <si>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</si>
  <si>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</si>
  <si>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</si>
  <si>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</si>
  <si>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</si>
  <si>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</si>
  <si>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</si>
  <si>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</si>
  <si>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</si>
  <si>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</si>
  <si>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</si>
  <si>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</si>
  <si>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</si>
  <si>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</si>
  <si>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</si>
  <si>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</si>
  <si>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</si>
  <si>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</si>
  <si>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</si>
  <si>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</si>
  <si>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</si>
  <si>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</si>
  <si>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</si>
  <si>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</si>
  <si>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</si>
  <si>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</si>
  <si>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</si>
  <si>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</si>
  <si>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</si>
  <si>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</si>
  <si>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</si>
  <si>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</si>
  <si>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</si>
  <si>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</si>
  <si>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TOTAL SALES</t>
  </si>
  <si>
    <t>Row Labels</t>
  </si>
  <si>
    <t>Grand Total</t>
  </si>
  <si>
    <t>Sum of Total_Sales</t>
  </si>
  <si>
    <t>(All)</t>
  </si>
  <si>
    <t>months</t>
  </si>
  <si>
    <t>Jan</t>
  </si>
  <si>
    <t>Feb</t>
  </si>
  <si>
    <t>Mar</t>
  </si>
  <si>
    <t>Apr</t>
  </si>
  <si>
    <t>May</t>
  </si>
  <si>
    <t>Jun</t>
  </si>
  <si>
    <t>SALES DASHBOARD</t>
  </si>
  <si>
    <t>Total Sales</t>
  </si>
  <si>
    <t>Top Region</t>
  </si>
  <si>
    <t>Top Product</t>
  </si>
  <si>
    <t>📈 Monthly Sales Trend Chart</t>
  </si>
  <si>
    <t>Region-wise Sales Chart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</si>
</sst>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44" fontId="0" fillId="0" borderId="0" xfId="1" applyFont="1"/>
    <xf numFmtId="0" fontId="2" fillId="3" borderId="0" xfId="0" applyFont="1" applyFill="1" applyAlignment="1">
      <alignment horizontal="center"/>
    </xf>
    <xf numFmtId="0" fontId="3" fillId="2" borderId="0" xfId="0" applyFont="1" applyFill="1"/>
    <xf numFmtId="0" fontId="4" fillId="0" borderId="0" xfId="0" applyFont="1"/>
    <xf numFmtId="0" fontId="3" fillId="6" borderId="0" xfId="0" applyFont="1" applyFill="1"/>
    <xf numFmtId="0" fontId="3" fillId="7" borderId="0" xfId="0" applyFont="1" applyFill="1" applyAlignment="1"/>
    <xf numFmtId="0" fontId="5" fillId="4" borderId="0" xfId="0" applyFont="1" applyFill="1" applyAlignment="1">
      <alignment horizontal="center"/>
    </xf>
    <xf numFmtId="0" fontId="5" fillId="5" borderId="0" xfId="0" applyNumberFormat="1" applyFont="1" applyFill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[Sales_Data_Analysis_Dashboard.xlsx]Pivot-Tables!PivotTable1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'Pivot-Tables'!$B$3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'Pivot-Tables'!$A$4:$A$9</c:f>
              <c:strCache>
                <c:ptCount val="5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'Pivot-Tables'!$B$4:$B$9</c:f>
              <c:numCache>
                <c:formatCode>General</c:formatCode>
                <c:ptCount val="5"/>
                <c:pt idx="0">
                  <c:v>1958800</c:v>
                </c:pt>
                <c:pt idx="1">
                  <c:v>1806100</c:v>
                </c:pt>
                <c:pt idx="2">
                  <c:v>2586800</c:v>
                </c:pt>
                <c:pt idx="3">
                  <c:v>958200</c:v>
                </c:pt>
                <c:pt idx="4">
                  <c:v>2459500</c:v>
                </c:pt>
              </c:numCache>
            </c:numRef>
          </c:val>
        </c:ser>
        <c:axId val="142529280"/>
        <c:axId val="142530816"/>
      </c:barChart>
      <c:catAx>
        <c:axId val="142529280"/>
        <c:scaling>
          <c:orientation val="minMax"/>
        </c:scaling>
        <c:axPos val="b"/>
        <c:tickLblPos val="nextTo"/>
        <c:crossAx val="142530816"/>
        <c:crosses val="autoZero"/>
        <c:auto val="1"/>
        <c:lblAlgn val="ctr"/>
        <c:lblOffset val="100"/>
      </c:catAx>
      <c:valAx>
        <c:axId val="142530816"/>
        <c:scaling>
          <c:orientation val="minMax"/>
        </c:scaling>
        <c:axPos val="l"/>
        <c:majorGridlines/>
        <c:numFmt formatCode="General" sourceLinked="1"/>
        <c:tickLblPos val="nextTo"/>
        <c:crossAx val="1425292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[Sales_Data_Analysis_Dashboard.xlsx]Pivot table-mothly wise !PivotTable5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'Pivot table-mothly wise 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'Pivot table-mothly wise 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table-mothly wise '!$B$4:$B$10</c:f>
              <c:numCache>
                <c:formatCode>General</c:formatCode>
                <c:ptCount val="6"/>
                <c:pt idx="0">
                  <c:v>489100</c:v>
                </c:pt>
                <c:pt idx="1">
                  <c:v>1467700</c:v>
                </c:pt>
                <c:pt idx="2">
                  <c:v>2414300</c:v>
                </c:pt>
                <c:pt idx="3">
                  <c:v>1095400</c:v>
                </c:pt>
                <c:pt idx="4">
                  <c:v>2904000</c:v>
                </c:pt>
                <c:pt idx="5">
                  <c:v>1398900</c:v>
                </c:pt>
              </c:numCache>
            </c:numRef>
          </c:val>
        </c:ser>
        <c:marker val="1"/>
        <c:axId val="142846592"/>
        <c:axId val="142999936"/>
      </c:lineChart>
      <c:catAx>
        <c:axId val="142846592"/>
        <c:scaling>
          <c:orientation val="minMax"/>
        </c:scaling>
        <c:axPos val="b"/>
        <c:tickLblPos val="nextTo"/>
        <c:crossAx val="142999936"/>
        <c:crosses val="autoZero"/>
        <c:auto val="1"/>
        <c:lblAlgn val="ctr"/>
        <c:lblOffset val="100"/>
      </c:catAx>
      <c:valAx>
        <c:axId val="142999936"/>
        <c:scaling>
          <c:orientation val="minMax"/>
        </c:scaling>
        <c:axPos val="l"/>
        <c:majorGridlines/>
        <c:numFmt formatCode="General" sourceLinked="1"/>
        <c:tickLblPos val="nextTo"/>
        <c:crossAx val="1428465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[Sales_Data_Analysis_Dashboard.xlsx]Pivot table-mothly wise !PivotTable5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'Pivot table-mothly wise 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'Pivot table-mothly wise 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table-mothly wise '!$B$4:$B$10</c:f>
              <c:numCache>
                <c:formatCode>General</c:formatCode>
                <c:ptCount val="6"/>
                <c:pt idx="0">
                  <c:v>489100</c:v>
                </c:pt>
                <c:pt idx="1">
                  <c:v>1467700</c:v>
                </c:pt>
                <c:pt idx="2">
                  <c:v>2414300</c:v>
                </c:pt>
                <c:pt idx="3">
                  <c:v>1095400</c:v>
                </c:pt>
                <c:pt idx="4">
                  <c:v>2904000</c:v>
                </c:pt>
                <c:pt idx="5">
                  <c:v>1398900</c:v>
                </c:pt>
              </c:numCache>
            </c:numRef>
          </c:val>
        </c:ser>
        <c:marker val="1"/>
        <c:axId val="143114624"/>
        <c:axId val="143116160"/>
      </c:lineChart>
      <c:catAx>
        <c:axId val="143114624"/>
        <c:scaling>
          <c:orientation val="minMax"/>
        </c:scaling>
        <c:axPos val="b"/>
        <c:tickLblPos val="nextTo"/>
        <c:crossAx val="143116160"/>
        <c:crosses val="autoZero"/>
        <c:auto val="1"/>
        <c:lblAlgn val="ctr"/>
        <c:lblOffset val="100"/>
      </c:catAx>
      <c:valAx>
        <c:axId val="143116160"/>
        <c:scaling>
          <c:orientation val="minMax"/>
        </c:scaling>
        <c:axPos val="l"/>
        <c:majorGridlines/>
        <c:numFmt formatCode="General" sourceLinked="1"/>
        <c:tickLblPos val="nextTo"/>
        <c:crossAx val="1431146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[Sales_Data_Analysis_Dashboard.xlsx]Pivot-Tables!PivotTable1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'Pivot-Tables'!$B$3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'Pivot-Tables'!$A$4:$A$9</c:f>
              <c:strCache>
                <c:ptCount val="5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'Pivot-Tables'!$B$4:$B$9</c:f>
              <c:numCache>
                <c:formatCode>General</c:formatCode>
                <c:ptCount val="5"/>
                <c:pt idx="0">
                  <c:v>1958800</c:v>
                </c:pt>
                <c:pt idx="1">
                  <c:v>1806100</c:v>
                </c:pt>
                <c:pt idx="2">
                  <c:v>2586800</c:v>
                </c:pt>
                <c:pt idx="3">
                  <c:v>958200</c:v>
                </c:pt>
                <c:pt idx="4">
                  <c:v>2459500</c:v>
                </c:pt>
              </c:numCache>
            </c:numRef>
          </c:val>
        </c:ser>
        <c:axId val="143132160"/>
        <c:axId val="143133696"/>
      </c:barChart>
      <c:catAx>
        <c:axId val="143132160"/>
        <c:scaling>
          <c:orientation val="minMax"/>
        </c:scaling>
        <c:axPos val="b"/>
        <c:tickLblPos val="nextTo"/>
        <c:crossAx val="143133696"/>
        <c:crosses val="autoZero"/>
        <c:auto val="1"/>
        <c:lblAlgn val="ctr"/>
        <c:lblOffset val="100"/>
      </c:catAx>
      <c:valAx>
        <c:axId val="143133696"/>
        <c:scaling>
          <c:orientation val="minMax"/>
        </c:scaling>
        <c:axPos val="l"/>
        <c:majorGridlines/>
        <c:numFmt formatCode="General" sourceLinked="1"/>
        <c:tickLblPos val="nextTo"/>
        <c:crossAx val="1431321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6</xdr:row>
      <xdr:rowOff>133350</xdr:rowOff>
    </xdr:from>
    <xdr:to>
      <xdr:col>13</xdr:col>
      <xdr:colOff>161925</xdr:colOff>
      <xdr:row>21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6</xdr:row>
      <xdr:rowOff>66675</xdr:rowOff>
    </xdr:from>
    <xdr:to>
      <xdr:col>10</xdr:col>
      <xdr:colOff>600075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95250</xdr:colOff>
      <xdr:row>20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7</xdr:row>
      <xdr:rowOff>19050</xdr:rowOff>
    </xdr:from>
    <xdr:to>
      <xdr:col>12</xdr:col>
      <xdr:colOff>590550</xdr:colOff>
      <xdr:row>21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" refreshedDate="46196.544229398147" createdVersion="3" refreshedVersion="3" minRefreshableVersion="3" recordCount="100">
  <cacheSource type="worksheet">
    <worksheetSource ref="A1:K101" sheet="Sales_Data"/>
  </cacheSource>
  <cacheFields count="10">
    <cacheField name="Order_ID" numFmtId="0">
      <sharedItems/>
    </cacheField>
    <cacheField name="Order_Date" numFmtId="14">
      <sharedItems containsSemiMixedTypes="0" containsNonDate="0" containsDate="1" containsString="0" minDate="2026-01-04T00:00:00" maxDate="2026-06-29T00:00:00" count="78">
        <d v="2026-03-22T00:00:00"/>
        <d v="2026-05-30T00:00:00"/>
        <d v="2026-03-04T00:00:00"/>
        <d v="2026-05-06T00:00:00"/>
        <d v="2026-04-15T00:00:00"/>
        <d v="2026-04-24T00:00:00"/>
        <d v="2026-02-23T00:00:00"/>
        <d v="2026-05-02T00:00:00"/>
        <d v="2026-01-12T00:00:00"/>
        <d v="2026-02-21T00:00:00"/>
        <d v="2026-05-13T00:00:00"/>
        <d v="2026-06-14T00:00:00"/>
        <d v="2026-04-02T00:00:00"/>
        <d v="2026-06-10T00:00:00"/>
        <d v="2026-02-19T00:00:00"/>
        <d v="2026-01-27T00:00:00"/>
        <d v="2026-03-24T00:00:00"/>
        <d v="2026-05-15T00:00:00"/>
        <d v="2026-03-20T00:00:00"/>
        <d v="2026-06-21T00:00:00"/>
        <d v="2026-03-25T00:00:00"/>
        <d v="2026-02-27T00:00:00"/>
        <d v="2026-05-31T00:00:00"/>
        <d v="2026-04-13T00:00:00"/>
        <d v="2026-04-16T00:00:00"/>
        <d v="2026-06-28T00:00:00"/>
        <d v="2026-03-15T00:00:00"/>
        <d v="2026-02-05T00:00:00"/>
        <d v="2026-06-15T00:00:00"/>
        <d v="2026-03-29T00:00:00"/>
        <d v="2026-03-16T00:00:00"/>
        <d v="2026-01-26T00:00:00"/>
        <d v="2026-05-25T00:00:00"/>
        <d v="2026-06-06T00:00:00"/>
        <d v="2026-02-26T00:00:00"/>
        <d v="2026-03-30T00:00:00"/>
        <d v="2026-04-27T00:00:00"/>
        <d v="2026-02-09T00:00:00"/>
        <d v="2026-01-09T00:00:00"/>
        <d v="2026-05-04T00:00:00"/>
        <d v="2026-04-25T00:00:00"/>
        <d v="2026-04-17T00:00:00"/>
        <d v="2026-05-20T00:00:00"/>
        <d v="2026-06-16T00:00:00"/>
        <d v="2026-01-21T00:00:00"/>
        <d v="2026-05-01T00:00:00"/>
        <d v="2026-05-23T00:00:00"/>
        <d v="2026-02-13T00:00:00"/>
        <d v="2026-03-08T00:00:00"/>
        <d v="2026-06-20T00:00:00"/>
        <d v="2026-04-04T00:00:00"/>
        <d v="2026-02-14T00:00:00"/>
        <d v="2026-01-10T00:00:00"/>
        <d v="2026-01-14T00:00:00"/>
        <d v="2026-03-19T00:00:00"/>
        <d v="2026-01-31T00:00:00"/>
        <d v="2026-02-10T00:00:00"/>
        <d v="2026-04-30T00:00:00"/>
        <d v="2026-05-07T00:00:00"/>
        <d v="2026-05-28T00:00:00"/>
        <d v="2026-02-12T00:00:00"/>
        <d v="2026-05-14T00:00:00"/>
        <d v="2026-05-16T00:00:00"/>
        <d v="2026-03-13T00:00:00"/>
        <d v="2026-03-09T00:00:00"/>
        <d v="2026-03-06T00:00:00"/>
        <d v="2026-05-29T00:00:00"/>
        <d v="2026-03-31T00:00:00"/>
        <d v="2026-02-15T00:00:00"/>
        <d v="2026-06-22T00:00:00"/>
        <d v="2026-03-11T00:00:00"/>
        <d v="2026-02-22T00:00:00"/>
        <d v="2026-04-07T00:00:00"/>
        <d v="2026-01-04T00:00:00"/>
        <d v="2026-03-28T00:00:00"/>
        <d v="2026-06-24T00:00:00"/>
        <d v="2026-04-28T00:00:00"/>
        <d v="2026-05-03T00:00:00"/>
      </sharedItems>
      <fieldGroup base="1">
        <rangePr groupBy="months" startDate="2026-01-04T00:00:00" endDate="2026-06-29T00:00:00"/>
        <groupItems count="14">
          <s v="&lt;1/4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9/2026"/>
        </groupItems>
      </fieldGroup>
    </cacheField>
    <cacheField name="Region" numFmtId="0">
      <sharedItems count="5">
        <s v="Mumbai"/>
        <s v="Bengaluru"/>
        <s v="Hyderabad"/>
        <s v="Chennai"/>
        <s v="Delhi"/>
      </sharedItems>
    </cacheField>
    <cacheField name="Salesperson" numFmtId="0">
      <sharedItems/>
    </cacheField>
    <cacheField name="Product" numFmtId="0">
      <sharedItems count="6">
        <s v="Notebook"/>
        <s v="Laptop"/>
        <s v="Mouse"/>
        <s v="Keyboard"/>
        <s v="Table"/>
        <s v="Chair"/>
      </sharedItems>
    </cacheField>
    <cacheField name="Category" numFmtId="0">
      <sharedItems/>
    </cacheField>
    <cacheField name="Units_Sold" numFmtId="0">
      <sharedItems containsSemiMixedTypes="0" containsString="0" containsNumber="1" containsInteger="1" minValue="1" maxValue="15"/>
    </cacheField>
    <cacheField name="Unit_Price" numFmtId="0">
      <sharedItems containsSemiMixedTypes="0" containsString="0" containsNumber="1" containsInteger="1" minValue="100" maxValue="55000"/>
    </cacheField>
    <cacheField name="Total_Sales" numFmtId="0">
      <sharedItems containsSemiMixedTypes="0" containsString="0" containsNumber="1" containsInteger="1" minValue="200" maxValue="825000" count="56">
        <n v="200"/>
        <n v="165000"/>
        <n v="55000"/>
        <n v="715000"/>
        <n v="8400"/>
        <n v="700"/>
        <n v="14400"/>
        <n v="32000"/>
        <n v="400"/>
        <n v="96000"/>
        <n v="10800"/>
        <n v="9000"/>
        <n v="9100"/>
        <n v="56000"/>
        <n v="16800"/>
        <n v="24000"/>
        <n v="13500"/>
        <n v="88000"/>
        <n v="58500"/>
        <n v="110000"/>
        <n v="48000"/>
        <n v="220000"/>
        <n v="1000"/>
        <n v="31500"/>
        <n v="9800"/>
        <n v="1400"/>
        <n v="112000"/>
        <n v="4900"/>
        <n v="12000"/>
        <n v="4800"/>
        <n v="385000"/>
        <n v="1100"/>
        <n v="1200"/>
        <n v="660000"/>
        <n v="18000"/>
        <n v="63000"/>
        <n v="45000"/>
        <n v="2800"/>
        <n v="3600"/>
        <n v="104000"/>
        <n v="500"/>
        <n v="1500"/>
        <n v="825000"/>
        <n v="16000"/>
        <n v="7700"/>
        <n v="605000"/>
        <n v="440000"/>
        <n v="275000"/>
        <n v="800"/>
        <n v="300"/>
        <n v="770000"/>
        <n v="8000"/>
        <n v="2400"/>
        <n v="3500"/>
        <n v="64000"/>
        <n v="120000"/>
      </sharedItems>
    </cacheField>
    <cacheField name="TOTAL SALES" numFmtId="0">
      <sharedItems containsString="0" containsBlank="1" containsNumber="1" containsInteger="1" minValue="9769400" maxValue="97694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ORD001"/>
    <x v="0"/>
    <x v="0"/>
    <s v="Rahul"/>
    <x v="0"/>
    <s v="Stationery"/>
    <n v="2"/>
    <n v="100"/>
    <x v="0"/>
    <n v="9769400"/>
  </r>
  <r>
    <s v="ORD002"/>
    <x v="1"/>
    <x v="1"/>
    <s v="Rahul"/>
    <x v="1"/>
    <s v="Electronics"/>
    <n v="3"/>
    <n v="55000"/>
    <x v="1"/>
    <m/>
  </r>
  <r>
    <s v="ORD003"/>
    <x v="2"/>
    <x v="0"/>
    <s v="Sneha"/>
    <x v="1"/>
    <s v="Electronics"/>
    <n v="1"/>
    <n v="55000"/>
    <x v="2"/>
    <m/>
  </r>
  <r>
    <s v="ORD004"/>
    <x v="3"/>
    <x v="0"/>
    <s v="Meena"/>
    <x v="1"/>
    <s v="Electronics"/>
    <n v="13"/>
    <n v="55000"/>
    <x v="3"/>
    <m/>
  </r>
  <r>
    <s v="ORD005"/>
    <x v="4"/>
    <x v="1"/>
    <s v="Sneha"/>
    <x v="2"/>
    <s v="Electronics"/>
    <n v="12"/>
    <n v="700"/>
    <x v="4"/>
    <m/>
  </r>
  <r>
    <s v="ORD006"/>
    <x v="5"/>
    <x v="0"/>
    <s v="Kiran"/>
    <x v="0"/>
    <s v="Stationery"/>
    <n v="7"/>
    <n v="100"/>
    <x v="5"/>
    <m/>
  </r>
  <r>
    <s v="ORD007"/>
    <x v="6"/>
    <x v="2"/>
    <s v="Priya"/>
    <x v="3"/>
    <s v="Electronics"/>
    <n v="12"/>
    <n v="1200"/>
    <x v="6"/>
    <m/>
  </r>
  <r>
    <s v="ORD008"/>
    <x v="7"/>
    <x v="3"/>
    <s v="Sneha"/>
    <x v="4"/>
    <s v="Furniture"/>
    <n v="4"/>
    <n v="8000"/>
    <x v="7"/>
    <m/>
  </r>
  <r>
    <s v="ORD009"/>
    <x v="8"/>
    <x v="2"/>
    <s v="Priya"/>
    <x v="0"/>
    <s v="Stationery"/>
    <n v="4"/>
    <n v="100"/>
    <x v="8"/>
    <m/>
  </r>
  <r>
    <s v="ORD010"/>
    <x v="9"/>
    <x v="4"/>
    <s v="Rahul"/>
    <x v="4"/>
    <s v="Furniture"/>
    <n v="12"/>
    <n v="8000"/>
    <x v="9"/>
    <m/>
  </r>
  <r>
    <s v="ORD011"/>
    <x v="10"/>
    <x v="2"/>
    <s v="Kiran"/>
    <x v="3"/>
    <s v="Electronics"/>
    <n v="9"/>
    <n v="1200"/>
    <x v="10"/>
    <m/>
  </r>
  <r>
    <s v="ORD012"/>
    <x v="11"/>
    <x v="4"/>
    <s v="Rahul"/>
    <x v="5"/>
    <s v="Furniture"/>
    <n v="2"/>
    <n v="4500"/>
    <x v="11"/>
    <m/>
  </r>
  <r>
    <s v="ORD013"/>
    <x v="12"/>
    <x v="2"/>
    <s v="Rahul"/>
    <x v="2"/>
    <s v="Electronics"/>
    <n v="13"/>
    <n v="700"/>
    <x v="12"/>
    <m/>
  </r>
  <r>
    <s v="ORD014"/>
    <x v="12"/>
    <x v="3"/>
    <s v="Priya"/>
    <x v="4"/>
    <s v="Furniture"/>
    <n v="7"/>
    <n v="8000"/>
    <x v="13"/>
    <m/>
  </r>
  <r>
    <s v="ORD015"/>
    <x v="13"/>
    <x v="1"/>
    <s v="Kiran"/>
    <x v="3"/>
    <s v="Electronics"/>
    <n v="14"/>
    <n v="1200"/>
    <x v="14"/>
    <m/>
  </r>
  <r>
    <s v="ORD016"/>
    <x v="14"/>
    <x v="1"/>
    <s v="Rahul"/>
    <x v="4"/>
    <s v="Furniture"/>
    <n v="3"/>
    <n v="8000"/>
    <x v="15"/>
    <m/>
  </r>
  <r>
    <s v="ORD017"/>
    <x v="15"/>
    <x v="1"/>
    <s v="Kiran"/>
    <x v="5"/>
    <s v="Furniture"/>
    <n v="2"/>
    <n v="4500"/>
    <x v="11"/>
    <m/>
  </r>
  <r>
    <s v="ORD018"/>
    <x v="16"/>
    <x v="4"/>
    <s v="Meena"/>
    <x v="5"/>
    <s v="Furniture"/>
    <n v="3"/>
    <n v="4500"/>
    <x v="16"/>
    <m/>
  </r>
  <r>
    <s v="ORD019"/>
    <x v="17"/>
    <x v="0"/>
    <s v="Anil"/>
    <x v="4"/>
    <s v="Furniture"/>
    <n v="11"/>
    <n v="8000"/>
    <x v="17"/>
    <m/>
  </r>
  <r>
    <s v="ORD020"/>
    <x v="11"/>
    <x v="3"/>
    <s v="Anil"/>
    <x v="5"/>
    <s v="Furniture"/>
    <n v="13"/>
    <n v="4500"/>
    <x v="18"/>
    <m/>
  </r>
  <r>
    <s v="ORD021"/>
    <x v="18"/>
    <x v="1"/>
    <s v="Priya"/>
    <x v="1"/>
    <s v="Electronics"/>
    <n v="2"/>
    <n v="55000"/>
    <x v="19"/>
    <m/>
  </r>
  <r>
    <s v="ORD022"/>
    <x v="19"/>
    <x v="3"/>
    <s v="Priya"/>
    <x v="4"/>
    <s v="Furniture"/>
    <n v="6"/>
    <n v="8000"/>
    <x v="20"/>
    <m/>
  </r>
  <r>
    <s v="ORD023"/>
    <x v="20"/>
    <x v="0"/>
    <s v="Priya"/>
    <x v="1"/>
    <s v="Electronics"/>
    <n v="4"/>
    <n v="55000"/>
    <x v="21"/>
    <m/>
  </r>
  <r>
    <s v="ORD024"/>
    <x v="21"/>
    <x v="4"/>
    <s v="Anil"/>
    <x v="0"/>
    <s v="Stationery"/>
    <n v="10"/>
    <n v="100"/>
    <x v="22"/>
    <m/>
  </r>
  <r>
    <s v="ORD025"/>
    <x v="22"/>
    <x v="3"/>
    <s v="Kiran"/>
    <x v="5"/>
    <s v="Furniture"/>
    <n v="7"/>
    <n v="4500"/>
    <x v="23"/>
    <m/>
  </r>
  <r>
    <s v="ORD026"/>
    <x v="23"/>
    <x v="0"/>
    <s v="Kiran"/>
    <x v="2"/>
    <s v="Electronics"/>
    <n v="13"/>
    <n v="700"/>
    <x v="12"/>
    <m/>
  </r>
  <r>
    <s v="ORD027"/>
    <x v="24"/>
    <x v="1"/>
    <s v="Priya"/>
    <x v="2"/>
    <s v="Electronics"/>
    <n v="14"/>
    <n v="700"/>
    <x v="24"/>
    <m/>
  </r>
  <r>
    <s v="ORD028"/>
    <x v="25"/>
    <x v="4"/>
    <s v="Priya"/>
    <x v="2"/>
    <s v="Electronics"/>
    <n v="2"/>
    <n v="700"/>
    <x v="25"/>
    <m/>
  </r>
  <r>
    <s v="ORD029"/>
    <x v="26"/>
    <x v="4"/>
    <s v="Priya"/>
    <x v="4"/>
    <s v="Furniture"/>
    <n v="14"/>
    <n v="8000"/>
    <x v="26"/>
    <m/>
  </r>
  <r>
    <s v="ORD030"/>
    <x v="27"/>
    <x v="3"/>
    <s v="Anil"/>
    <x v="2"/>
    <s v="Electronics"/>
    <n v="7"/>
    <n v="700"/>
    <x v="27"/>
    <m/>
  </r>
  <r>
    <s v="ORD031"/>
    <x v="28"/>
    <x v="0"/>
    <s v="Anil"/>
    <x v="3"/>
    <s v="Electronics"/>
    <n v="10"/>
    <n v="1200"/>
    <x v="28"/>
    <m/>
  </r>
  <r>
    <s v="ORD032"/>
    <x v="29"/>
    <x v="3"/>
    <s v="Rahul"/>
    <x v="3"/>
    <s v="Electronics"/>
    <n v="4"/>
    <n v="1200"/>
    <x v="29"/>
    <m/>
  </r>
  <r>
    <s v="ORD033"/>
    <x v="17"/>
    <x v="1"/>
    <s v="Anil"/>
    <x v="3"/>
    <s v="Electronics"/>
    <n v="14"/>
    <n v="1200"/>
    <x v="14"/>
    <m/>
  </r>
  <r>
    <s v="ORD034"/>
    <x v="30"/>
    <x v="0"/>
    <s v="Kiran"/>
    <x v="0"/>
    <s v="Stationery"/>
    <n v="7"/>
    <n v="100"/>
    <x v="5"/>
    <m/>
  </r>
  <r>
    <s v="ORD035"/>
    <x v="31"/>
    <x v="0"/>
    <s v="Kiran"/>
    <x v="1"/>
    <s v="Electronics"/>
    <n v="7"/>
    <n v="55000"/>
    <x v="30"/>
    <m/>
  </r>
  <r>
    <s v="ORD036"/>
    <x v="32"/>
    <x v="4"/>
    <s v="Priya"/>
    <x v="1"/>
    <s v="Electronics"/>
    <n v="3"/>
    <n v="55000"/>
    <x v="1"/>
    <m/>
  </r>
  <r>
    <s v="ORD037"/>
    <x v="11"/>
    <x v="1"/>
    <s v="Rahul"/>
    <x v="0"/>
    <s v="Stationery"/>
    <n v="11"/>
    <n v="100"/>
    <x v="31"/>
    <m/>
  </r>
  <r>
    <s v="ORD038"/>
    <x v="33"/>
    <x v="0"/>
    <s v="Sneha"/>
    <x v="0"/>
    <s v="Stationery"/>
    <n v="2"/>
    <n v="100"/>
    <x v="0"/>
    <m/>
  </r>
  <r>
    <s v="ORD039"/>
    <x v="22"/>
    <x v="2"/>
    <s v="Sneha"/>
    <x v="0"/>
    <s v="Stationery"/>
    <n v="12"/>
    <n v="100"/>
    <x v="32"/>
    <m/>
  </r>
  <r>
    <s v="ORD040"/>
    <x v="34"/>
    <x v="3"/>
    <s v="Anil"/>
    <x v="0"/>
    <s v="Stationery"/>
    <n v="12"/>
    <n v="100"/>
    <x v="32"/>
    <m/>
  </r>
  <r>
    <s v="ORD041"/>
    <x v="35"/>
    <x v="4"/>
    <s v="Kiran"/>
    <x v="1"/>
    <s v="Electronics"/>
    <n v="3"/>
    <n v="55000"/>
    <x v="1"/>
    <m/>
  </r>
  <r>
    <s v="ORD042"/>
    <x v="36"/>
    <x v="4"/>
    <s v="Priya"/>
    <x v="2"/>
    <s v="Electronics"/>
    <n v="7"/>
    <n v="700"/>
    <x v="27"/>
    <m/>
  </r>
  <r>
    <s v="ORD043"/>
    <x v="37"/>
    <x v="1"/>
    <s v="Kiran"/>
    <x v="1"/>
    <s v="Electronics"/>
    <n v="12"/>
    <n v="55000"/>
    <x v="33"/>
    <m/>
  </r>
  <r>
    <s v="ORD044"/>
    <x v="38"/>
    <x v="1"/>
    <s v="Anil"/>
    <x v="5"/>
    <s v="Furniture"/>
    <n v="4"/>
    <n v="4500"/>
    <x v="34"/>
    <m/>
  </r>
  <r>
    <s v="ORD045"/>
    <x v="39"/>
    <x v="1"/>
    <s v="Sneha"/>
    <x v="5"/>
    <s v="Furniture"/>
    <n v="4"/>
    <n v="4500"/>
    <x v="34"/>
    <m/>
  </r>
  <r>
    <s v="ORD046"/>
    <x v="0"/>
    <x v="1"/>
    <s v="Kiran"/>
    <x v="2"/>
    <s v="Electronics"/>
    <n v="13"/>
    <n v="700"/>
    <x v="12"/>
    <m/>
  </r>
  <r>
    <s v="ORD047"/>
    <x v="40"/>
    <x v="1"/>
    <s v="Anil"/>
    <x v="5"/>
    <s v="Furniture"/>
    <n v="14"/>
    <n v="4500"/>
    <x v="35"/>
    <m/>
  </r>
  <r>
    <s v="ORD048"/>
    <x v="41"/>
    <x v="4"/>
    <s v="Priya"/>
    <x v="5"/>
    <s v="Furniture"/>
    <n v="10"/>
    <n v="4500"/>
    <x v="36"/>
    <m/>
  </r>
  <r>
    <s v="ORD049"/>
    <x v="42"/>
    <x v="0"/>
    <s v="Rahul"/>
    <x v="2"/>
    <s v="Electronics"/>
    <n v="12"/>
    <n v="700"/>
    <x v="4"/>
    <m/>
  </r>
  <r>
    <s v="ORD050"/>
    <x v="43"/>
    <x v="3"/>
    <s v="Meena"/>
    <x v="5"/>
    <s v="Furniture"/>
    <n v="3"/>
    <n v="4500"/>
    <x v="16"/>
    <m/>
  </r>
  <r>
    <s v="ORD051"/>
    <x v="42"/>
    <x v="2"/>
    <s v="Kiran"/>
    <x v="1"/>
    <s v="Electronics"/>
    <n v="4"/>
    <n v="55000"/>
    <x v="21"/>
    <m/>
  </r>
  <r>
    <s v="ORD052"/>
    <x v="23"/>
    <x v="0"/>
    <s v="Meena"/>
    <x v="2"/>
    <s v="Electronics"/>
    <n v="4"/>
    <n v="700"/>
    <x v="37"/>
    <m/>
  </r>
  <r>
    <s v="ORD053"/>
    <x v="24"/>
    <x v="0"/>
    <s v="Sneha"/>
    <x v="3"/>
    <s v="Electronics"/>
    <n v="3"/>
    <n v="1200"/>
    <x v="38"/>
    <m/>
  </r>
  <r>
    <s v="ORD054"/>
    <x v="35"/>
    <x v="4"/>
    <s v="Rahul"/>
    <x v="4"/>
    <s v="Furniture"/>
    <n v="13"/>
    <n v="8000"/>
    <x v="39"/>
    <m/>
  </r>
  <r>
    <s v="ORD055"/>
    <x v="44"/>
    <x v="0"/>
    <s v="Rahul"/>
    <x v="0"/>
    <s v="Stationery"/>
    <n v="4"/>
    <n v="100"/>
    <x v="8"/>
    <m/>
  </r>
  <r>
    <s v="ORD056"/>
    <x v="11"/>
    <x v="2"/>
    <s v="Anil"/>
    <x v="4"/>
    <s v="Furniture"/>
    <n v="3"/>
    <n v="8000"/>
    <x v="15"/>
    <m/>
  </r>
  <r>
    <s v="ORD057"/>
    <x v="45"/>
    <x v="4"/>
    <s v="Priya"/>
    <x v="1"/>
    <s v="Electronics"/>
    <n v="1"/>
    <n v="55000"/>
    <x v="2"/>
    <m/>
  </r>
  <r>
    <s v="ORD058"/>
    <x v="46"/>
    <x v="1"/>
    <s v="Priya"/>
    <x v="0"/>
    <s v="Stationery"/>
    <n v="5"/>
    <n v="100"/>
    <x v="40"/>
    <m/>
  </r>
  <r>
    <s v="ORD059"/>
    <x v="47"/>
    <x v="0"/>
    <s v="Sneha"/>
    <x v="2"/>
    <s v="Electronics"/>
    <n v="2"/>
    <n v="700"/>
    <x v="25"/>
    <m/>
  </r>
  <r>
    <s v="ORD060"/>
    <x v="48"/>
    <x v="1"/>
    <s v="Priya"/>
    <x v="0"/>
    <s v="Stationery"/>
    <n v="15"/>
    <n v="100"/>
    <x v="41"/>
    <m/>
  </r>
  <r>
    <s v="ORD061"/>
    <x v="49"/>
    <x v="0"/>
    <s v="Meena"/>
    <x v="1"/>
    <s v="Electronics"/>
    <n v="15"/>
    <n v="55000"/>
    <x v="42"/>
    <m/>
  </r>
  <r>
    <s v="ORD062"/>
    <x v="50"/>
    <x v="4"/>
    <s v="Rahul"/>
    <x v="4"/>
    <s v="Furniture"/>
    <n v="2"/>
    <n v="8000"/>
    <x v="43"/>
    <m/>
  </r>
  <r>
    <s v="ORD063"/>
    <x v="51"/>
    <x v="1"/>
    <s v="Sneha"/>
    <x v="1"/>
    <s v="Electronics"/>
    <n v="1"/>
    <n v="55000"/>
    <x v="2"/>
    <m/>
  </r>
  <r>
    <s v="ORD064"/>
    <x v="52"/>
    <x v="2"/>
    <s v="Kiran"/>
    <x v="0"/>
    <s v="Stationery"/>
    <n v="14"/>
    <n v="100"/>
    <x v="25"/>
    <m/>
  </r>
  <r>
    <s v="ORD065"/>
    <x v="53"/>
    <x v="1"/>
    <s v="Meena"/>
    <x v="5"/>
    <s v="Furniture"/>
    <n v="13"/>
    <n v="4500"/>
    <x v="18"/>
    <m/>
  </r>
  <r>
    <s v="ORD066"/>
    <x v="54"/>
    <x v="3"/>
    <s v="Kiran"/>
    <x v="2"/>
    <s v="Electronics"/>
    <n v="11"/>
    <n v="700"/>
    <x v="44"/>
    <m/>
  </r>
  <r>
    <s v="ORD067"/>
    <x v="55"/>
    <x v="2"/>
    <s v="Anil"/>
    <x v="3"/>
    <s v="Electronics"/>
    <n v="7"/>
    <n v="1200"/>
    <x v="4"/>
    <m/>
  </r>
  <r>
    <s v="ORD068"/>
    <x v="56"/>
    <x v="1"/>
    <s v="Meena"/>
    <x v="1"/>
    <s v="Electronics"/>
    <n v="11"/>
    <n v="55000"/>
    <x v="45"/>
    <m/>
  </r>
  <r>
    <s v="ORD069"/>
    <x v="57"/>
    <x v="4"/>
    <s v="Rahul"/>
    <x v="1"/>
    <s v="Electronics"/>
    <n v="8"/>
    <n v="55000"/>
    <x v="46"/>
    <m/>
  </r>
  <r>
    <s v="ORD070"/>
    <x v="58"/>
    <x v="4"/>
    <s v="Kiran"/>
    <x v="1"/>
    <s v="Electronics"/>
    <n v="5"/>
    <n v="55000"/>
    <x v="47"/>
    <m/>
  </r>
  <r>
    <s v="ORD071"/>
    <x v="22"/>
    <x v="1"/>
    <s v="Sneha"/>
    <x v="5"/>
    <s v="Furniture"/>
    <n v="13"/>
    <n v="4500"/>
    <x v="18"/>
    <m/>
  </r>
  <r>
    <s v="ORD072"/>
    <x v="43"/>
    <x v="4"/>
    <s v="Rahul"/>
    <x v="3"/>
    <s v="Electronics"/>
    <n v="10"/>
    <n v="1200"/>
    <x v="28"/>
    <m/>
  </r>
  <r>
    <s v="ORD073"/>
    <x v="59"/>
    <x v="1"/>
    <s v="Priya"/>
    <x v="0"/>
    <s v="Stationery"/>
    <n v="8"/>
    <n v="100"/>
    <x v="48"/>
    <m/>
  </r>
  <r>
    <s v="ORD074"/>
    <x v="18"/>
    <x v="0"/>
    <s v="Priya"/>
    <x v="2"/>
    <s v="Electronics"/>
    <n v="12"/>
    <n v="700"/>
    <x v="4"/>
    <m/>
  </r>
  <r>
    <s v="ORD075"/>
    <x v="30"/>
    <x v="0"/>
    <s v="Meena"/>
    <x v="0"/>
    <s v="Stationery"/>
    <n v="3"/>
    <n v="100"/>
    <x v="49"/>
    <m/>
  </r>
  <r>
    <s v="ORD076"/>
    <x v="60"/>
    <x v="4"/>
    <s v="Kiran"/>
    <x v="0"/>
    <s v="Stationery"/>
    <n v="10"/>
    <n v="100"/>
    <x v="22"/>
    <m/>
  </r>
  <r>
    <s v="ORD077"/>
    <x v="61"/>
    <x v="1"/>
    <s v="Sneha"/>
    <x v="0"/>
    <s v="Stationery"/>
    <n v="15"/>
    <n v="100"/>
    <x v="41"/>
    <m/>
  </r>
  <r>
    <s v="ORD078"/>
    <x v="62"/>
    <x v="4"/>
    <s v="Anil"/>
    <x v="1"/>
    <s v="Electronics"/>
    <n v="12"/>
    <n v="55000"/>
    <x v="33"/>
    <m/>
  </r>
  <r>
    <s v="ORD079"/>
    <x v="63"/>
    <x v="3"/>
    <s v="Kiran"/>
    <x v="1"/>
    <s v="Electronics"/>
    <n v="14"/>
    <n v="55000"/>
    <x v="50"/>
    <m/>
  </r>
  <r>
    <s v="ORD080"/>
    <x v="64"/>
    <x v="3"/>
    <s v="Kiran"/>
    <x v="4"/>
    <s v="Furniture"/>
    <n v="1"/>
    <n v="8000"/>
    <x v="51"/>
    <m/>
  </r>
  <r>
    <s v="ORD081"/>
    <x v="65"/>
    <x v="2"/>
    <s v="Priya"/>
    <x v="2"/>
    <s v="Electronics"/>
    <n v="13"/>
    <n v="700"/>
    <x v="12"/>
    <m/>
  </r>
  <r>
    <s v="ORD082"/>
    <x v="66"/>
    <x v="4"/>
    <s v="Priya"/>
    <x v="3"/>
    <s v="Electronics"/>
    <n v="15"/>
    <n v="1200"/>
    <x v="34"/>
    <m/>
  </r>
  <r>
    <s v="ORD083"/>
    <x v="67"/>
    <x v="2"/>
    <s v="Rahul"/>
    <x v="1"/>
    <s v="Electronics"/>
    <n v="7"/>
    <n v="55000"/>
    <x v="30"/>
    <m/>
  </r>
  <r>
    <s v="ORD084"/>
    <x v="68"/>
    <x v="0"/>
    <s v="Anil"/>
    <x v="3"/>
    <s v="Electronics"/>
    <n v="2"/>
    <n v="1200"/>
    <x v="52"/>
    <m/>
  </r>
  <r>
    <s v="ORD085"/>
    <x v="8"/>
    <x v="4"/>
    <s v="Rahul"/>
    <x v="2"/>
    <s v="Electronics"/>
    <n v="11"/>
    <n v="700"/>
    <x v="44"/>
    <m/>
  </r>
  <r>
    <s v="ORD086"/>
    <x v="69"/>
    <x v="4"/>
    <s v="Priya"/>
    <x v="1"/>
    <s v="Electronics"/>
    <n v="4"/>
    <n v="55000"/>
    <x v="21"/>
    <m/>
  </r>
  <r>
    <s v="ORD087"/>
    <x v="70"/>
    <x v="3"/>
    <s v="Rahul"/>
    <x v="1"/>
    <s v="Electronics"/>
    <n v="7"/>
    <n v="55000"/>
    <x v="30"/>
    <m/>
  </r>
  <r>
    <s v="ORD088"/>
    <x v="71"/>
    <x v="0"/>
    <s v="Rahul"/>
    <x v="0"/>
    <s v="Stationery"/>
    <n v="14"/>
    <n v="100"/>
    <x v="25"/>
    <m/>
  </r>
  <r>
    <s v="ORD089"/>
    <x v="33"/>
    <x v="1"/>
    <s v="Priya"/>
    <x v="2"/>
    <s v="Electronics"/>
    <n v="5"/>
    <n v="700"/>
    <x v="53"/>
    <m/>
  </r>
  <r>
    <s v="ORD090"/>
    <x v="72"/>
    <x v="2"/>
    <s v="Meena"/>
    <x v="4"/>
    <s v="Furniture"/>
    <n v="8"/>
    <n v="8000"/>
    <x v="54"/>
    <m/>
  </r>
  <r>
    <s v="ORD091"/>
    <x v="7"/>
    <x v="4"/>
    <s v="Anil"/>
    <x v="1"/>
    <s v="Electronics"/>
    <n v="3"/>
    <n v="55000"/>
    <x v="1"/>
    <m/>
  </r>
  <r>
    <s v="ORD092"/>
    <x v="73"/>
    <x v="4"/>
    <s v="Sneha"/>
    <x v="0"/>
    <s v="Stationery"/>
    <n v="3"/>
    <n v="100"/>
    <x v="49"/>
    <m/>
  </r>
  <r>
    <s v="ORD093"/>
    <x v="25"/>
    <x v="0"/>
    <s v="Priya"/>
    <x v="5"/>
    <s v="Furniture"/>
    <n v="7"/>
    <n v="4500"/>
    <x v="23"/>
    <m/>
  </r>
  <r>
    <s v="ORD094"/>
    <x v="74"/>
    <x v="1"/>
    <s v="Meena"/>
    <x v="5"/>
    <s v="Furniture"/>
    <n v="10"/>
    <n v="4500"/>
    <x v="36"/>
    <m/>
  </r>
  <r>
    <s v="ORD095"/>
    <x v="24"/>
    <x v="3"/>
    <s v="Kiran"/>
    <x v="1"/>
    <s v="Electronics"/>
    <n v="5"/>
    <n v="55000"/>
    <x v="47"/>
    <m/>
  </r>
  <r>
    <s v="ORD096"/>
    <x v="75"/>
    <x v="2"/>
    <s v="Priya"/>
    <x v="4"/>
    <s v="Furniture"/>
    <n v="15"/>
    <n v="8000"/>
    <x v="55"/>
    <m/>
  </r>
  <r>
    <s v="ORD097"/>
    <x v="1"/>
    <x v="3"/>
    <s v="Sneha"/>
    <x v="1"/>
    <s v="Electronics"/>
    <n v="2"/>
    <n v="55000"/>
    <x v="19"/>
    <m/>
  </r>
  <r>
    <s v="ORD098"/>
    <x v="19"/>
    <x v="2"/>
    <s v="Anil"/>
    <x v="3"/>
    <s v="Electronics"/>
    <n v="2"/>
    <n v="1200"/>
    <x v="52"/>
    <m/>
  </r>
  <r>
    <s v="ORD099"/>
    <x v="76"/>
    <x v="0"/>
    <s v="Meena"/>
    <x v="4"/>
    <s v="Furniture"/>
    <n v="11"/>
    <n v="8000"/>
    <x v="17"/>
    <m/>
  </r>
  <r>
    <s v="ORD100"/>
    <x v="77"/>
    <x v="2"/>
    <s v="Kiran"/>
    <x v="4"/>
    <s v="Furniture"/>
    <n v="11"/>
    <n v="8000"/>
    <x v="1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D3:E10" firstHeaderRow="1" firstDataRow="1" firstDataCol="1" rowPageCount="1" colPageCount="1"/>
  <pivotFields count="10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7">
        <item x="5"/>
        <item x="3"/>
        <item x="1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dataField="1" showAll="0">
      <items count="57">
        <item x="0"/>
        <item x="49"/>
        <item x="8"/>
        <item x="40"/>
        <item x="5"/>
        <item x="48"/>
        <item x="22"/>
        <item x="31"/>
        <item x="32"/>
        <item x="25"/>
        <item x="41"/>
        <item x="52"/>
        <item x="37"/>
        <item x="53"/>
        <item x="38"/>
        <item x="29"/>
        <item x="27"/>
        <item x="44"/>
        <item x="51"/>
        <item x="4"/>
        <item x="11"/>
        <item x="12"/>
        <item x="24"/>
        <item x="10"/>
        <item x="28"/>
        <item x="16"/>
        <item x="6"/>
        <item x="43"/>
        <item x="14"/>
        <item x="34"/>
        <item x="15"/>
        <item x="23"/>
        <item x="7"/>
        <item x="36"/>
        <item x="20"/>
        <item x="2"/>
        <item x="13"/>
        <item x="18"/>
        <item x="35"/>
        <item x="54"/>
        <item x="17"/>
        <item x="9"/>
        <item x="39"/>
        <item x="19"/>
        <item x="26"/>
        <item x="55"/>
        <item x="1"/>
        <item x="21"/>
        <item x="47"/>
        <item x="30"/>
        <item x="46"/>
        <item x="45"/>
        <item x="33"/>
        <item x="3"/>
        <item x="50"/>
        <item x="42"/>
        <item t="default"/>
      </items>
    </pivotField>
    <pivotField showAll="0"/>
  </pivotFields>
  <rowFields count="1">
    <field x="4"/>
  </rowFields>
  <rowItems count="7">
    <i>
      <x v="2"/>
    </i>
    <i>
      <x v="5"/>
    </i>
    <i>
      <x/>
    </i>
    <i>
      <x v="1"/>
    </i>
    <i>
      <x v="3"/>
    </i>
    <i>
      <x v="4"/>
    </i>
    <i t="grand">
      <x/>
    </i>
  </rowItems>
  <colItems count="1">
    <i/>
  </colItems>
  <pageFields count="1">
    <pageField fld="8" hier="-1"/>
  </pageFields>
  <dataFields count="1">
    <dataField name="Sum of Total_Sales" fld="8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9" firstHeaderRow="1" firstDataRow="1" firstDataCol="1"/>
  <pivotFields count="10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>
      <items count="7">
        <item x="5"/>
        <item x="3"/>
        <item x="1"/>
        <item x="2"/>
        <item x="0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0" firstHeaderRow="1" firstDataRow="1" firstDataCol="1"/>
  <pivotFields count="10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>
      <selection activeCell="K9" sqref="K9"/>
    </sheetView>
  </sheetViews>
  <sheetFormatPr defaultRowHeight="15"/>
  <cols>
    <col min="1" max="1" width="9" bestFit="1" customWidth="1"/>
    <col min="2" max="2" width="11.28515625" style="1" bestFit="1" customWidth="1"/>
    <col min="3" max="3" width="11.28515625" style="1" customWidth="1"/>
    <col min="4" max="4" width="10.5703125" bestFit="1" customWidth="1"/>
    <col min="5" max="5" width="11.7109375" bestFit="1" customWidth="1"/>
    <col min="6" max="6" width="9.85546875" bestFit="1" customWidth="1"/>
    <col min="7" max="7" width="10.5703125" bestFit="1" customWidth="1"/>
    <col min="8" max="8" width="10.42578125" bestFit="1" customWidth="1"/>
    <col min="9" max="9" width="10.140625" bestFit="1" customWidth="1"/>
    <col min="10" max="10" width="11" bestFit="1" customWidth="1"/>
    <col min="11" max="11" width="12.140625" bestFit="1" customWidth="1"/>
  </cols>
  <sheetData>
    <row r="1" spans="1:11">
      <c r="A1" t="s">
        <v>0</v>
      </c>
      <c r="B1" s="1" t="s">
        <v>1</v>
      </c>
      <c r="C1" s="1" t="s">
        <v>134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129</v>
      </c>
    </row>
    <row r="2" spans="1:11">
      <c r="A2" t="s">
        <v>9</v>
      </c>
      <c r="B2" s="1">
        <v>46103</v>
      </c>
      <c r="C2" s="1" t="str">
        <f>TEXT(B2,"mmm")</f>
        <v>Mar</v>
      </c>
      <c r="D2" t="s">
        <v>10</v>
      </c>
      <c r="E2" t="s">
        <v>11</v>
      </c>
      <c r="F2" t="s">
        <v>12</v>
      </c>
      <c r="G2" t="s">
        <v>13</v>
      </c>
      <c r="H2">
        <v>2</v>
      </c>
      <c r="I2">
        <v>100</v>
      </c>
      <c r="J2">
        <v>200</v>
      </c>
      <c r="K2">
        <f>SUM(J2:J101)</f>
        <v>9769400</v>
      </c>
    </row>
    <row r="3" spans="1:11">
      <c r="A3" t="s">
        <v>14</v>
      </c>
      <c r="B3" s="1">
        <v>46172</v>
      </c>
      <c r="C3" s="1" t="str">
        <f t="shared" ref="C3:C66" si="0">TEXT(B3,"mmm")</f>
        <v>May</v>
      </c>
      <c r="D3" t="s">
        <v>15</v>
      </c>
      <c r="E3" t="s">
        <v>11</v>
      </c>
      <c r="F3" t="s">
        <v>16</v>
      </c>
      <c r="G3" t="s">
        <v>17</v>
      </c>
      <c r="H3">
        <v>3</v>
      </c>
      <c r="I3">
        <v>55000</v>
      </c>
      <c r="J3">
        <v>165000</v>
      </c>
    </row>
    <row r="4" spans="1:11">
      <c r="A4" t="s">
        <v>18</v>
      </c>
      <c r="B4" s="1">
        <v>46085</v>
      </c>
      <c r="C4" s="1" t="str">
        <f t="shared" si="0"/>
        <v>Mar</v>
      </c>
      <c r="D4" t="s">
        <v>10</v>
      </c>
      <c r="E4" t="s">
        <v>19</v>
      </c>
      <c r="F4" t="s">
        <v>16</v>
      </c>
      <c r="G4" t="s">
        <v>17</v>
      </c>
      <c r="H4">
        <v>1</v>
      </c>
      <c r="I4">
        <v>55000</v>
      </c>
      <c r="J4">
        <v>55000</v>
      </c>
    </row>
    <row r="5" spans="1:11">
      <c r="A5" t="s">
        <v>20</v>
      </c>
      <c r="B5" s="1">
        <v>46148</v>
      </c>
      <c r="C5" s="1" t="str">
        <f t="shared" si="0"/>
        <v>May</v>
      </c>
      <c r="D5" t="s">
        <v>10</v>
      </c>
      <c r="E5" t="s">
        <v>21</v>
      </c>
      <c r="F5" t="s">
        <v>16</v>
      </c>
      <c r="G5" t="s">
        <v>17</v>
      </c>
      <c r="H5">
        <v>13</v>
      </c>
      <c r="I5">
        <v>55000</v>
      </c>
      <c r="J5">
        <v>715000</v>
      </c>
    </row>
    <row r="6" spans="1:11">
      <c r="A6" t="s">
        <v>22</v>
      </c>
      <c r="B6" s="1">
        <v>46127</v>
      </c>
      <c r="C6" s="1" t="str">
        <f t="shared" si="0"/>
        <v>Apr</v>
      </c>
      <c r="D6" t="s">
        <v>15</v>
      </c>
      <c r="E6" t="s">
        <v>19</v>
      </c>
      <c r="F6" t="s">
        <v>23</v>
      </c>
      <c r="G6" t="s">
        <v>17</v>
      </c>
      <c r="H6">
        <v>12</v>
      </c>
      <c r="I6">
        <v>700</v>
      </c>
      <c r="J6">
        <v>8400</v>
      </c>
    </row>
    <row r="7" spans="1:11">
      <c r="A7" t="s">
        <v>24</v>
      </c>
      <c r="B7" s="1">
        <v>46136</v>
      </c>
      <c r="C7" s="1" t="str">
        <f t="shared" si="0"/>
        <v>Apr</v>
      </c>
      <c r="D7" t="s">
        <v>10</v>
      </c>
      <c r="E7" t="s">
        <v>25</v>
      </c>
      <c r="F7" t="s">
        <v>12</v>
      </c>
      <c r="G7" t="s">
        <v>13</v>
      </c>
      <c r="H7">
        <v>7</v>
      </c>
      <c r="I7">
        <v>100</v>
      </c>
      <c r="J7">
        <v>700</v>
      </c>
    </row>
    <row r="8" spans="1:11">
      <c r="A8" t="s">
        <v>26</v>
      </c>
      <c r="B8" s="1">
        <v>46076</v>
      </c>
      <c r="C8" s="1" t="str">
        <f t="shared" si="0"/>
        <v>Feb</v>
      </c>
      <c r="D8" t="s">
        <v>27</v>
      </c>
      <c r="E8" t="s">
        <v>28</v>
      </c>
      <c r="F8" t="s">
        <v>29</v>
      </c>
      <c r="G8" t="s">
        <v>17</v>
      </c>
      <c r="H8">
        <v>12</v>
      </c>
      <c r="I8">
        <v>1200</v>
      </c>
      <c r="J8">
        <v>14400</v>
      </c>
    </row>
    <row r="9" spans="1:11">
      <c r="A9" t="s">
        <v>30</v>
      </c>
      <c r="B9" s="1">
        <v>46144</v>
      </c>
      <c r="C9" s="1" t="str">
        <f t="shared" si="0"/>
        <v>May</v>
      </c>
      <c r="D9" t="s">
        <v>31</v>
      </c>
      <c r="E9" t="s">
        <v>19</v>
      </c>
      <c r="F9" t="s">
        <v>32</v>
      </c>
      <c r="G9" t="s">
        <v>33</v>
      </c>
      <c r="H9">
        <v>4</v>
      </c>
      <c r="I9">
        <v>8000</v>
      </c>
      <c r="J9">
        <v>32000</v>
      </c>
    </row>
    <row r="10" spans="1:11">
      <c r="A10" t="s">
        <v>34</v>
      </c>
      <c r="B10" s="1">
        <v>46034</v>
      </c>
      <c r="C10" s="1" t="str">
        <f t="shared" si="0"/>
        <v>Jan</v>
      </c>
      <c r="D10" t="s">
        <v>27</v>
      </c>
      <c r="E10" t="s">
        <v>28</v>
      </c>
      <c r="F10" t="s">
        <v>12</v>
      </c>
      <c r="G10" t="s">
        <v>13</v>
      </c>
      <c r="H10">
        <v>4</v>
      </c>
      <c r="I10">
        <v>100</v>
      </c>
      <c r="J10">
        <v>400</v>
      </c>
    </row>
    <row r="11" spans="1:11">
      <c r="A11" t="s">
        <v>35</v>
      </c>
      <c r="B11" s="1">
        <v>46074</v>
      </c>
      <c r="C11" s="1" t="str">
        <f t="shared" si="0"/>
        <v>Feb</v>
      </c>
      <c r="D11" t="s">
        <v>36</v>
      </c>
      <c r="E11" t="s">
        <v>11</v>
      </c>
      <c r="F11" t="s">
        <v>32</v>
      </c>
      <c r="G11" t="s">
        <v>33</v>
      </c>
      <c r="H11">
        <v>12</v>
      </c>
      <c r="I11">
        <v>8000</v>
      </c>
      <c r="J11">
        <v>96000</v>
      </c>
    </row>
    <row r="12" spans="1:11">
      <c r="A12" t="s">
        <v>37</v>
      </c>
      <c r="B12" s="1">
        <v>46155</v>
      </c>
      <c r="C12" s="1" t="str">
        <f t="shared" si="0"/>
        <v>May</v>
      </c>
      <c r="D12" t="s">
        <v>27</v>
      </c>
      <c r="E12" t="s">
        <v>25</v>
      </c>
      <c r="F12" t="s">
        <v>29</v>
      </c>
      <c r="G12" t="s">
        <v>17</v>
      </c>
      <c r="H12">
        <v>9</v>
      </c>
      <c r="I12">
        <v>1200</v>
      </c>
      <c r="J12">
        <v>10800</v>
      </c>
    </row>
    <row r="13" spans="1:11">
      <c r="A13" t="s">
        <v>38</v>
      </c>
      <c r="B13" s="1">
        <v>46187</v>
      </c>
      <c r="C13" s="1" t="str">
        <f t="shared" si="0"/>
        <v>Jun</v>
      </c>
      <c r="D13" t="s">
        <v>36</v>
      </c>
      <c r="E13" t="s">
        <v>11</v>
      </c>
      <c r="F13" t="s">
        <v>39</v>
      </c>
      <c r="G13" t="s">
        <v>33</v>
      </c>
      <c r="H13">
        <v>2</v>
      </c>
      <c r="I13">
        <v>4500</v>
      </c>
      <c r="J13">
        <v>9000</v>
      </c>
    </row>
    <row r="14" spans="1:11">
      <c r="A14" t="s">
        <v>40</v>
      </c>
      <c r="B14" s="1">
        <v>46114</v>
      </c>
      <c r="C14" s="1" t="str">
        <f t="shared" si="0"/>
        <v>Apr</v>
      </c>
      <c r="D14" t="s">
        <v>27</v>
      </c>
      <c r="E14" t="s">
        <v>11</v>
      </c>
      <c r="F14" t="s">
        <v>23</v>
      </c>
      <c r="G14" t="s">
        <v>17</v>
      </c>
      <c r="H14">
        <v>13</v>
      </c>
      <c r="I14">
        <v>700</v>
      </c>
      <c r="J14">
        <v>9100</v>
      </c>
    </row>
    <row r="15" spans="1:11">
      <c r="A15" t="s">
        <v>41</v>
      </c>
      <c r="B15" s="1">
        <v>46114</v>
      </c>
      <c r="C15" s="1" t="str">
        <f t="shared" si="0"/>
        <v>Apr</v>
      </c>
      <c r="D15" t="s">
        <v>31</v>
      </c>
      <c r="E15" t="s">
        <v>28</v>
      </c>
      <c r="F15" t="s">
        <v>32</v>
      </c>
      <c r="G15" t="s">
        <v>33</v>
      </c>
      <c r="H15">
        <v>7</v>
      </c>
      <c r="I15">
        <v>8000</v>
      </c>
      <c r="J15">
        <v>56000</v>
      </c>
    </row>
    <row r="16" spans="1:11">
      <c r="A16" t="s">
        <v>42</v>
      </c>
      <c r="B16" s="1">
        <v>46183</v>
      </c>
      <c r="C16" s="1" t="str">
        <f t="shared" si="0"/>
        <v>Jun</v>
      </c>
      <c r="D16" t="s">
        <v>15</v>
      </c>
      <c r="E16" t="s">
        <v>25</v>
      </c>
      <c r="F16" t="s">
        <v>29</v>
      </c>
      <c r="G16" t="s">
        <v>17</v>
      </c>
      <c r="H16">
        <v>14</v>
      </c>
      <c r="I16">
        <v>1200</v>
      </c>
      <c r="J16">
        <v>16800</v>
      </c>
    </row>
    <row r="17" spans="1:10">
      <c r="A17" t="s">
        <v>43</v>
      </c>
      <c r="B17" s="1">
        <v>46072</v>
      </c>
      <c r="C17" s="1" t="str">
        <f t="shared" si="0"/>
        <v>Feb</v>
      </c>
      <c r="D17" t="s">
        <v>15</v>
      </c>
      <c r="E17" t="s">
        <v>11</v>
      </c>
      <c r="F17" t="s">
        <v>32</v>
      </c>
      <c r="G17" t="s">
        <v>33</v>
      </c>
      <c r="H17">
        <v>3</v>
      </c>
      <c r="I17">
        <v>8000</v>
      </c>
      <c r="J17">
        <v>24000</v>
      </c>
    </row>
    <row r="18" spans="1:10">
      <c r="A18" t="s">
        <v>44</v>
      </c>
      <c r="B18" s="1">
        <v>46049</v>
      </c>
      <c r="C18" s="1" t="str">
        <f t="shared" si="0"/>
        <v>Jan</v>
      </c>
      <c r="D18" t="s">
        <v>15</v>
      </c>
      <c r="E18" t="s">
        <v>25</v>
      </c>
      <c r="F18" t="s">
        <v>39</v>
      </c>
      <c r="G18" t="s">
        <v>33</v>
      </c>
      <c r="H18">
        <v>2</v>
      </c>
      <c r="I18">
        <v>4500</v>
      </c>
      <c r="J18">
        <v>9000</v>
      </c>
    </row>
    <row r="19" spans="1:10">
      <c r="A19" t="s">
        <v>45</v>
      </c>
      <c r="B19" s="1">
        <v>46105</v>
      </c>
      <c r="C19" s="1" t="str">
        <f t="shared" si="0"/>
        <v>Mar</v>
      </c>
      <c r="D19" t="s">
        <v>36</v>
      </c>
      <c r="E19" t="s">
        <v>21</v>
      </c>
      <c r="F19" t="s">
        <v>39</v>
      </c>
      <c r="G19" t="s">
        <v>33</v>
      </c>
      <c r="H19">
        <v>3</v>
      </c>
      <c r="I19">
        <v>4500</v>
      </c>
      <c r="J19">
        <v>13500</v>
      </c>
    </row>
    <row r="20" spans="1:10">
      <c r="A20" t="s">
        <v>46</v>
      </c>
      <c r="B20" s="1">
        <v>46157</v>
      </c>
      <c r="C20" s="1" t="str">
        <f t="shared" si="0"/>
        <v>May</v>
      </c>
      <c r="D20" t="s">
        <v>10</v>
      </c>
      <c r="E20" t="s">
        <v>47</v>
      </c>
      <c r="F20" t="s">
        <v>32</v>
      </c>
      <c r="G20" t="s">
        <v>33</v>
      </c>
      <c r="H20">
        <v>11</v>
      </c>
      <c r="I20">
        <v>8000</v>
      </c>
      <c r="J20">
        <v>88000</v>
      </c>
    </row>
    <row r="21" spans="1:10">
      <c r="A21" t="s">
        <v>48</v>
      </c>
      <c r="B21" s="1">
        <v>46187</v>
      </c>
      <c r="C21" s="1" t="str">
        <f t="shared" si="0"/>
        <v>Jun</v>
      </c>
      <c r="D21" t="s">
        <v>31</v>
      </c>
      <c r="E21" t="s">
        <v>47</v>
      </c>
      <c r="F21" t="s">
        <v>39</v>
      </c>
      <c r="G21" t="s">
        <v>33</v>
      </c>
      <c r="H21">
        <v>13</v>
      </c>
      <c r="I21">
        <v>4500</v>
      </c>
      <c r="J21">
        <v>58500</v>
      </c>
    </row>
    <row r="22" spans="1:10">
      <c r="A22" t="s">
        <v>49</v>
      </c>
      <c r="B22" s="1">
        <v>46101</v>
      </c>
      <c r="C22" s="1" t="str">
        <f t="shared" si="0"/>
        <v>Mar</v>
      </c>
      <c r="D22" t="s">
        <v>15</v>
      </c>
      <c r="E22" t="s">
        <v>28</v>
      </c>
      <c r="F22" t="s">
        <v>16</v>
      </c>
      <c r="G22" t="s">
        <v>17</v>
      </c>
      <c r="H22">
        <v>2</v>
      </c>
      <c r="I22">
        <v>55000</v>
      </c>
      <c r="J22">
        <v>110000</v>
      </c>
    </row>
    <row r="23" spans="1:10">
      <c r="A23" t="s">
        <v>50</v>
      </c>
      <c r="B23" s="1">
        <v>46194</v>
      </c>
      <c r="C23" s="1" t="str">
        <f t="shared" si="0"/>
        <v>Jun</v>
      </c>
      <c r="D23" t="s">
        <v>31</v>
      </c>
      <c r="E23" t="s">
        <v>28</v>
      </c>
      <c r="F23" t="s">
        <v>32</v>
      </c>
      <c r="G23" t="s">
        <v>33</v>
      </c>
      <c r="H23">
        <v>6</v>
      </c>
      <c r="I23">
        <v>8000</v>
      </c>
      <c r="J23">
        <v>48000</v>
      </c>
    </row>
    <row r="24" spans="1:10">
      <c r="A24" t="s">
        <v>51</v>
      </c>
      <c r="B24" s="1">
        <v>46106</v>
      </c>
      <c r="C24" s="1" t="str">
        <f t="shared" si="0"/>
        <v>Mar</v>
      </c>
      <c r="D24" t="s">
        <v>10</v>
      </c>
      <c r="E24" t="s">
        <v>28</v>
      </c>
      <c r="F24" t="s">
        <v>16</v>
      </c>
      <c r="G24" t="s">
        <v>17</v>
      </c>
      <c r="H24">
        <v>4</v>
      </c>
      <c r="I24">
        <v>55000</v>
      </c>
      <c r="J24">
        <v>220000</v>
      </c>
    </row>
    <row r="25" spans="1:10">
      <c r="A25" t="s">
        <v>52</v>
      </c>
      <c r="B25" s="1">
        <v>46080</v>
      </c>
      <c r="C25" s="1" t="str">
        <f t="shared" si="0"/>
        <v>Feb</v>
      </c>
      <c r="D25" t="s">
        <v>36</v>
      </c>
      <c r="E25" t="s">
        <v>47</v>
      </c>
      <c r="F25" t="s">
        <v>12</v>
      </c>
      <c r="G25" t="s">
        <v>13</v>
      </c>
      <c r="H25">
        <v>10</v>
      </c>
      <c r="I25">
        <v>100</v>
      </c>
      <c r="J25">
        <v>1000</v>
      </c>
    </row>
    <row r="26" spans="1:10">
      <c r="A26" t="s">
        <v>53</v>
      </c>
      <c r="B26" s="1">
        <v>46173</v>
      </c>
      <c r="C26" s="1" t="str">
        <f t="shared" si="0"/>
        <v>May</v>
      </c>
      <c r="D26" t="s">
        <v>31</v>
      </c>
      <c r="E26" t="s">
        <v>25</v>
      </c>
      <c r="F26" t="s">
        <v>39</v>
      </c>
      <c r="G26" t="s">
        <v>33</v>
      </c>
      <c r="H26">
        <v>7</v>
      </c>
      <c r="I26">
        <v>4500</v>
      </c>
      <c r="J26">
        <v>31500</v>
      </c>
    </row>
    <row r="27" spans="1:10">
      <c r="A27" t="s">
        <v>54</v>
      </c>
      <c r="B27" s="1">
        <v>46125</v>
      </c>
      <c r="C27" s="1" t="str">
        <f t="shared" si="0"/>
        <v>Apr</v>
      </c>
      <c r="D27" t="s">
        <v>10</v>
      </c>
      <c r="E27" t="s">
        <v>25</v>
      </c>
      <c r="F27" t="s">
        <v>23</v>
      </c>
      <c r="G27" t="s">
        <v>17</v>
      </c>
      <c r="H27">
        <v>13</v>
      </c>
      <c r="I27">
        <v>700</v>
      </c>
      <c r="J27">
        <v>9100</v>
      </c>
    </row>
    <row r="28" spans="1:10">
      <c r="A28" t="s">
        <v>55</v>
      </c>
      <c r="B28" s="1">
        <v>46128</v>
      </c>
      <c r="C28" s="1" t="str">
        <f t="shared" si="0"/>
        <v>Apr</v>
      </c>
      <c r="D28" t="s">
        <v>15</v>
      </c>
      <c r="E28" t="s">
        <v>28</v>
      </c>
      <c r="F28" t="s">
        <v>23</v>
      </c>
      <c r="G28" t="s">
        <v>17</v>
      </c>
      <c r="H28">
        <v>14</v>
      </c>
      <c r="I28">
        <v>700</v>
      </c>
      <c r="J28">
        <v>9800</v>
      </c>
    </row>
    <row r="29" spans="1:10">
      <c r="A29" t="s">
        <v>56</v>
      </c>
      <c r="B29" s="1">
        <v>46201</v>
      </c>
      <c r="C29" s="1" t="str">
        <f t="shared" si="0"/>
        <v>Jun</v>
      </c>
      <c r="D29" t="s">
        <v>36</v>
      </c>
      <c r="E29" t="s">
        <v>28</v>
      </c>
      <c r="F29" t="s">
        <v>23</v>
      </c>
      <c r="G29" t="s">
        <v>17</v>
      </c>
      <c r="H29">
        <v>2</v>
      </c>
      <c r="I29">
        <v>700</v>
      </c>
      <c r="J29">
        <v>1400</v>
      </c>
    </row>
    <row r="30" spans="1:10">
      <c r="A30" t="s">
        <v>57</v>
      </c>
      <c r="B30" s="1">
        <v>46096</v>
      </c>
      <c r="C30" s="1" t="str">
        <f t="shared" si="0"/>
        <v>Mar</v>
      </c>
      <c r="D30" t="s">
        <v>36</v>
      </c>
      <c r="E30" t="s">
        <v>28</v>
      </c>
      <c r="F30" t="s">
        <v>32</v>
      </c>
      <c r="G30" t="s">
        <v>33</v>
      </c>
      <c r="H30">
        <v>14</v>
      </c>
      <c r="I30">
        <v>8000</v>
      </c>
      <c r="J30">
        <v>112000</v>
      </c>
    </row>
    <row r="31" spans="1:10">
      <c r="A31" t="s">
        <v>58</v>
      </c>
      <c r="B31" s="1">
        <v>46058</v>
      </c>
      <c r="C31" s="1" t="str">
        <f t="shared" si="0"/>
        <v>Feb</v>
      </c>
      <c r="D31" t="s">
        <v>31</v>
      </c>
      <c r="E31" t="s">
        <v>47</v>
      </c>
      <c r="F31" t="s">
        <v>23</v>
      </c>
      <c r="G31" t="s">
        <v>17</v>
      </c>
      <c r="H31">
        <v>7</v>
      </c>
      <c r="I31">
        <v>700</v>
      </c>
      <c r="J31">
        <v>4900</v>
      </c>
    </row>
    <row r="32" spans="1:10">
      <c r="A32" t="s">
        <v>59</v>
      </c>
      <c r="B32" s="1">
        <v>46188</v>
      </c>
      <c r="C32" s="1" t="str">
        <f t="shared" si="0"/>
        <v>Jun</v>
      </c>
      <c r="D32" t="s">
        <v>10</v>
      </c>
      <c r="E32" t="s">
        <v>47</v>
      </c>
      <c r="F32" t="s">
        <v>29</v>
      </c>
      <c r="G32" t="s">
        <v>17</v>
      </c>
      <c r="H32">
        <v>10</v>
      </c>
      <c r="I32">
        <v>1200</v>
      </c>
      <c r="J32">
        <v>12000</v>
      </c>
    </row>
    <row r="33" spans="1:10">
      <c r="A33" t="s">
        <v>60</v>
      </c>
      <c r="B33" s="1">
        <v>46110</v>
      </c>
      <c r="C33" s="1" t="str">
        <f t="shared" si="0"/>
        <v>Mar</v>
      </c>
      <c r="D33" t="s">
        <v>31</v>
      </c>
      <c r="E33" t="s">
        <v>11</v>
      </c>
      <c r="F33" t="s">
        <v>29</v>
      </c>
      <c r="G33" t="s">
        <v>17</v>
      </c>
      <c r="H33">
        <v>4</v>
      </c>
      <c r="I33">
        <v>1200</v>
      </c>
      <c r="J33">
        <v>4800</v>
      </c>
    </row>
    <row r="34" spans="1:10">
      <c r="A34" t="s">
        <v>61</v>
      </c>
      <c r="B34" s="1">
        <v>46157</v>
      </c>
      <c r="C34" s="1" t="str">
        <f t="shared" si="0"/>
        <v>May</v>
      </c>
      <c r="D34" t="s">
        <v>15</v>
      </c>
      <c r="E34" t="s">
        <v>47</v>
      </c>
      <c r="F34" t="s">
        <v>29</v>
      </c>
      <c r="G34" t="s">
        <v>17</v>
      </c>
      <c r="H34">
        <v>14</v>
      </c>
      <c r="I34">
        <v>1200</v>
      </c>
      <c r="J34">
        <v>16800</v>
      </c>
    </row>
    <row r="35" spans="1:10">
      <c r="A35" t="s">
        <v>62</v>
      </c>
      <c r="B35" s="1">
        <v>46097</v>
      </c>
      <c r="C35" s="1" t="str">
        <f t="shared" si="0"/>
        <v>Mar</v>
      </c>
      <c r="D35" t="s">
        <v>10</v>
      </c>
      <c r="E35" t="s">
        <v>25</v>
      </c>
      <c r="F35" t="s">
        <v>12</v>
      </c>
      <c r="G35" t="s">
        <v>13</v>
      </c>
      <c r="H35">
        <v>7</v>
      </c>
      <c r="I35">
        <v>100</v>
      </c>
      <c r="J35">
        <v>700</v>
      </c>
    </row>
    <row r="36" spans="1:10">
      <c r="A36" t="s">
        <v>63</v>
      </c>
      <c r="B36" s="1">
        <v>46048</v>
      </c>
      <c r="C36" s="1" t="str">
        <f t="shared" si="0"/>
        <v>Jan</v>
      </c>
      <c r="D36" t="s">
        <v>10</v>
      </c>
      <c r="E36" t="s">
        <v>25</v>
      </c>
      <c r="F36" t="s">
        <v>16</v>
      </c>
      <c r="G36" t="s">
        <v>17</v>
      </c>
      <c r="H36">
        <v>7</v>
      </c>
      <c r="I36">
        <v>55000</v>
      </c>
      <c r="J36">
        <v>385000</v>
      </c>
    </row>
    <row r="37" spans="1:10">
      <c r="A37" t="s">
        <v>64</v>
      </c>
      <c r="B37" s="1">
        <v>46167</v>
      </c>
      <c r="C37" s="1" t="str">
        <f t="shared" si="0"/>
        <v>May</v>
      </c>
      <c r="D37" t="s">
        <v>36</v>
      </c>
      <c r="E37" t="s">
        <v>28</v>
      </c>
      <c r="F37" t="s">
        <v>16</v>
      </c>
      <c r="G37" t="s">
        <v>17</v>
      </c>
      <c r="H37">
        <v>3</v>
      </c>
      <c r="I37">
        <v>55000</v>
      </c>
      <c r="J37">
        <v>165000</v>
      </c>
    </row>
    <row r="38" spans="1:10">
      <c r="A38" t="s">
        <v>65</v>
      </c>
      <c r="B38" s="1">
        <v>46187</v>
      </c>
      <c r="C38" s="1" t="str">
        <f t="shared" si="0"/>
        <v>Jun</v>
      </c>
      <c r="D38" t="s">
        <v>15</v>
      </c>
      <c r="E38" t="s">
        <v>11</v>
      </c>
      <c r="F38" t="s">
        <v>12</v>
      </c>
      <c r="G38" t="s">
        <v>13</v>
      </c>
      <c r="H38">
        <v>11</v>
      </c>
      <c r="I38">
        <v>100</v>
      </c>
      <c r="J38">
        <v>1100</v>
      </c>
    </row>
    <row r="39" spans="1:10">
      <c r="A39" t="s">
        <v>66</v>
      </c>
      <c r="B39" s="1">
        <v>46179</v>
      </c>
      <c r="C39" s="1" t="str">
        <f t="shared" si="0"/>
        <v>Jun</v>
      </c>
      <c r="D39" t="s">
        <v>10</v>
      </c>
      <c r="E39" t="s">
        <v>19</v>
      </c>
      <c r="F39" t="s">
        <v>12</v>
      </c>
      <c r="G39" t="s">
        <v>13</v>
      </c>
      <c r="H39">
        <v>2</v>
      </c>
      <c r="I39">
        <v>100</v>
      </c>
      <c r="J39">
        <v>200</v>
      </c>
    </row>
    <row r="40" spans="1:10">
      <c r="A40" t="s">
        <v>67</v>
      </c>
      <c r="B40" s="1">
        <v>46173</v>
      </c>
      <c r="C40" s="1" t="str">
        <f t="shared" si="0"/>
        <v>May</v>
      </c>
      <c r="D40" t="s">
        <v>27</v>
      </c>
      <c r="E40" t="s">
        <v>19</v>
      </c>
      <c r="F40" t="s">
        <v>12</v>
      </c>
      <c r="G40" t="s">
        <v>13</v>
      </c>
      <c r="H40">
        <v>12</v>
      </c>
      <c r="I40">
        <v>100</v>
      </c>
      <c r="J40">
        <v>1200</v>
      </c>
    </row>
    <row r="41" spans="1:10">
      <c r="A41" t="s">
        <v>68</v>
      </c>
      <c r="B41" s="1">
        <v>46079</v>
      </c>
      <c r="C41" s="1" t="str">
        <f t="shared" si="0"/>
        <v>Feb</v>
      </c>
      <c r="D41" t="s">
        <v>31</v>
      </c>
      <c r="E41" t="s">
        <v>47</v>
      </c>
      <c r="F41" t="s">
        <v>12</v>
      </c>
      <c r="G41" t="s">
        <v>13</v>
      </c>
      <c r="H41">
        <v>12</v>
      </c>
      <c r="I41">
        <v>100</v>
      </c>
      <c r="J41">
        <v>1200</v>
      </c>
    </row>
    <row r="42" spans="1:10">
      <c r="A42" t="s">
        <v>69</v>
      </c>
      <c r="B42" s="1">
        <v>46111</v>
      </c>
      <c r="C42" s="1" t="str">
        <f t="shared" si="0"/>
        <v>Mar</v>
      </c>
      <c r="D42" t="s">
        <v>36</v>
      </c>
      <c r="E42" t="s">
        <v>25</v>
      </c>
      <c r="F42" t="s">
        <v>16</v>
      </c>
      <c r="G42" t="s">
        <v>17</v>
      </c>
      <c r="H42">
        <v>3</v>
      </c>
      <c r="I42">
        <v>55000</v>
      </c>
      <c r="J42">
        <v>165000</v>
      </c>
    </row>
    <row r="43" spans="1:10">
      <c r="A43" t="s">
        <v>70</v>
      </c>
      <c r="B43" s="1">
        <v>46139</v>
      </c>
      <c r="C43" s="1" t="str">
        <f t="shared" si="0"/>
        <v>Apr</v>
      </c>
      <c r="D43" t="s">
        <v>36</v>
      </c>
      <c r="E43" t="s">
        <v>28</v>
      </c>
      <c r="F43" t="s">
        <v>23</v>
      </c>
      <c r="G43" t="s">
        <v>17</v>
      </c>
      <c r="H43">
        <v>7</v>
      </c>
      <c r="I43">
        <v>700</v>
      </c>
      <c r="J43">
        <v>4900</v>
      </c>
    </row>
    <row r="44" spans="1:10">
      <c r="A44" t="s">
        <v>71</v>
      </c>
      <c r="B44" s="1">
        <v>46062</v>
      </c>
      <c r="C44" s="1" t="str">
        <f t="shared" si="0"/>
        <v>Feb</v>
      </c>
      <c r="D44" t="s">
        <v>15</v>
      </c>
      <c r="E44" t="s">
        <v>25</v>
      </c>
      <c r="F44" t="s">
        <v>16</v>
      </c>
      <c r="G44" t="s">
        <v>17</v>
      </c>
      <c r="H44">
        <v>12</v>
      </c>
      <c r="I44">
        <v>55000</v>
      </c>
      <c r="J44">
        <v>660000</v>
      </c>
    </row>
    <row r="45" spans="1:10">
      <c r="A45" t="s">
        <v>72</v>
      </c>
      <c r="B45" s="1">
        <v>46031</v>
      </c>
      <c r="C45" s="1" t="str">
        <f t="shared" si="0"/>
        <v>Jan</v>
      </c>
      <c r="D45" t="s">
        <v>15</v>
      </c>
      <c r="E45" t="s">
        <v>47</v>
      </c>
      <c r="F45" t="s">
        <v>39</v>
      </c>
      <c r="G45" t="s">
        <v>33</v>
      </c>
      <c r="H45">
        <v>4</v>
      </c>
      <c r="I45">
        <v>4500</v>
      </c>
      <c r="J45">
        <v>18000</v>
      </c>
    </row>
    <row r="46" spans="1:10">
      <c r="A46" t="s">
        <v>73</v>
      </c>
      <c r="B46" s="1">
        <v>46146</v>
      </c>
      <c r="C46" s="1" t="str">
        <f t="shared" si="0"/>
        <v>May</v>
      </c>
      <c r="D46" t="s">
        <v>15</v>
      </c>
      <c r="E46" t="s">
        <v>19</v>
      </c>
      <c r="F46" t="s">
        <v>39</v>
      </c>
      <c r="G46" t="s">
        <v>33</v>
      </c>
      <c r="H46">
        <v>4</v>
      </c>
      <c r="I46">
        <v>4500</v>
      </c>
      <c r="J46">
        <v>18000</v>
      </c>
    </row>
    <row r="47" spans="1:10">
      <c r="A47" t="s">
        <v>74</v>
      </c>
      <c r="B47" s="1">
        <v>46103</v>
      </c>
      <c r="C47" s="1" t="str">
        <f t="shared" si="0"/>
        <v>Mar</v>
      </c>
      <c r="D47" t="s">
        <v>15</v>
      </c>
      <c r="E47" t="s">
        <v>25</v>
      </c>
      <c r="F47" t="s">
        <v>23</v>
      </c>
      <c r="G47" t="s">
        <v>17</v>
      </c>
      <c r="H47">
        <v>13</v>
      </c>
      <c r="I47">
        <v>700</v>
      </c>
      <c r="J47">
        <v>9100</v>
      </c>
    </row>
    <row r="48" spans="1:10">
      <c r="A48" t="s">
        <v>75</v>
      </c>
      <c r="B48" s="1">
        <v>46137</v>
      </c>
      <c r="C48" s="1" t="str">
        <f t="shared" si="0"/>
        <v>Apr</v>
      </c>
      <c r="D48" t="s">
        <v>15</v>
      </c>
      <c r="E48" t="s">
        <v>47</v>
      </c>
      <c r="F48" t="s">
        <v>39</v>
      </c>
      <c r="G48" t="s">
        <v>33</v>
      </c>
      <c r="H48">
        <v>14</v>
      </c>
      <c r="I48">
        <v>4500</v>
      </c>
      <c r="J48">
        <v>63000</v>
      </c>
    </row>
    <row r="49" spans="1:10">
      <c r="A49" t="s">
        <v>76</v>
      </c>
      <c r="B49" s="1">
        <v>46129</v>
      </c>
      <c r="C49" s="1" t="str">
        <f t="shared" si="0"/>
        <v>Apr</v>
      </c>
      <c r="D49" t="s">
        <v>36</v>
      </c>
      <c r="E49" t="s">
        <v>28</v>
      </c>
      <c r="F49" t="s">
        <v>39</v>
      </c>
      <c r="G49" t="s">
        <v>33</v>
      </c>
      <c r="H49">
        <v>10</v>
      </c>
      <c r="I49">
        <v>4500</v>
      </c>
      <c r="J49">
        <v>45000</v>
      </c>
    </row>
    <row r="50" spans="1:10">
      <c r="A50" t="s">
        <v>77</v>
      </c>
      <c r="B50" s="1">
        <v>46162</v>
      </c>
      <c r="C50" s="1" t="str">
        <f t="shared" si="0"/>
        <v>May</v>
      </c>
      <c r="D50" t="s">
        <v>10</v>
      </c>
      <c r="E50" t="s">
        <v>11</v>
      </c>
      <c r="F50" t="s">
        <v>23</v>
      </c>
      <c r="G50" t="s">
        <v>17</v>
      </c>
      <c r="H50">
        <v>12</v>
      </c>
      <c r="I50">
        <v>700</v>
      </c>
      <c r="J50">
        <v>8400</v>
      </c>
    </row>
    <row r="51" spans="1:10">
      <c r="A51" t="s">
        <v>78</v>
      </c>
      <c r="B51" s="1">
        <v>46189</v>
      </c>
      <c r="C51" s="1" t="str">
        <f t="shared" si="0"/>
        <v>Jun</v>
      </c>
      <c r="D51" t="s">
        <v>31</v>
      </c>
      <c r="E51" t="s">
        <v>21</v>
      </c>
      <c r="F51" t="s">
        <v>39</v>
      </c>
      <c r="G51" t="s">
        <v>33</v>
      </c>
      <c r="H51">
        <v>3</v>
      </c>
      <c r="I51">
        <v>4500</v>
      </c>
      <c r="J51">
        <v>13500</v>
      </c>
    </row>
    <row r="52" spans="1:10">
      <c r="A52" t="s">
        <v>79</v>
      </c>
      <c r="B52" s="1">
        <v>46162</v>
      </c>
      <c r="C52" s="1" t="str">
        <f t="shared" si="0"/>
        <v>May</v>
      </c>
      <c r="D52" t="s">
        <v>27</v>
      </c>
      <c r="E52" t="s">
        <v>25</v>
      </c>
      <c r="F52" t="s">
        <v>16</v>
      </c>
      <c r="G52" t="s">
        <v>17</v>
      </c>
      <c r="H52">
        <v>4</v>
      </c>
      <c r="I52">
        <v>55000</v>
      </c>
      <c r="J52">
        <v>220000</v>
      </c>
    </row>
    <row r="53" spans="1:10">
      <c r="A53" t="s">
        <v>80</v>
      </c>
      <c r="B53" s="1">
        <v>46125</v>
      </c>
      <c r="C53" s="1" t="str">
        <f t="shared" si="0"/>
        <v>Apr</v>
      </c>
      <c r="D53" t="s">
        <v>10</v>
      </c>
      <c r="E53" t="s">
        <v>21</v>
      </c>
      <c r="F53" t="s">
        <v>23</v>
      </c>
      <c r="G53" t="s">
        <v>17</v>
      </c>
      <c r="H53">
        <v>4</v>
      </c>
      <c r="I53">
        <v>700</v>
      </c>
      <c r="J53">
        <v>2800</v>
      </c>
    </row>
    <row r="54" spans="1:10">
      <c r="A54" t="s">
        <v>81</v>
      </c>
      <c r="B54" s="1">
        <v>46128</v>
      </c>
      <c r="C54" s="1" t="str">
        <f t="shared" si="0"/>
        <v>Apr</v>
      </c>
      <c r="D54" t="s">
        <v>10</v>
      </c>
      <c r="E54" t="s">
        <v>19</v>
      </c>
      <c r="F54" t="s">
        <v>29</v>
      </c>
      <c r="G54" t="s">
        <v>17</v>
      </c>
      <c r="H54">
        <v>3</v>
      </c>
      <c r="I54">
        <v>1200</v>
      </c>
      <c r="J54">
        <v>3600</v>
      </c>
    </row>
    <row r="55" spans="1:10">
      <c r="A55" t="s">
        <v>82</v>
      </c>
      <c r="B55" s="1">
        <v>46111</v>
      </c>
      <c r="C55" s="1" t="str">
        <f t="shared" si="0"/>
        <v>Mar</v>
      </c>
      <c r="D55" t="s">
        <v>36</v>
      </c>
      <c r="E55" t="s">
        <v>11</v>
      </c>
      <c r="F55" t="s">
        <v>32</v>
      </c>
      <c r="G55" t="s">
        <v>33</v>
      </c>
      <c r="H55">
        <v>13</v>
      </c>
      <c r="I55">
        <v>8000</v>
      </c>
      <c r="J55">
        <v>104000</v>
      </c>
    </row>
    <row r="56" spans="1:10">
      <c r="A56" t="s">
        <v>83</v>
      </c>
      <c r="B56" s="1">
        <v>46043</v>
      </c>
      <c r="C56" s="1" t="str">
        <f t="shared" si="0"/>
        <v>Jan</v>
      </c>
      <c r="D56" t="s">
        <v>10</v>
      </c>
      <c r="E56" t="s">
        <v>11</v>
      </c>
      <c r="F56" t="s">
        <v>12</v>
      </c>
      <c r="G56" t="s">
        <v>13</v>
      </c>
      <c r="H56">
        <v>4</v>
      </c>
      <c r="I56">
        <v>100</v>
      </c>
      <c r="J56">
        <v>400</v>
      </c>
    </row>
    <row r="57" spans="1:10">
      <c r="A57" t="s">
        <v>84</v>
      </c>
      <c r="B57" s="1">
        <v>46187</v>
      </c>
      <c r="C57" s="1" t="str">
        <f t="shared" si="0"/>
        <v>Jun</v>
      </c>
      <c r="D57" t="s">
        <v>27</v>
      </c>
      <c r="E57" t="s">
        <v>47</v>
      </c>
      <c r="F57" t="s">
        <v>32</v>
      </c>
      <c r="G57" t="s">
        <v>33</v>
      </c>
      <c r="H57">
        <v>3</v>
      </c>
      <c r="I57">
        <v>8000</v>
      </c>
      <c r="J57">
        <v>24000</v>
      </c>
    </row>
    <row r="58" spans="1:10">
      <c r="A58" t="s">
        <v>85</v>
      </c>
      <c r="B58" s="1">
        <v>46143</v>
      </c>
      <c r="C58" s="1" t="str">
        <f t="shared" si="0"/>
        <v>May</v>
      </c>
      <c r="D58" t="s">
        <v>36</v>
      </c>
      <c r="E58" t="s">
        <v>28</v>
      </c>
      <c r="F58" t="s">
        <v>16</v>
      </c>
      <c r="G58" t="s">
        <v>17</v>
      </c>
      <c r="H58">
        <v>1</v>
      </c>
      <c r="I58">
        <v>55000</v>
      </c>
      <c r="J58">
        <v>55000</v>
      </c>
    </row>
    <row r="59" spans="1:10">
      <c r="A59" t="s">
        <v>86</v>
      </c>
      <c r="B59" s="1">
        <v>46165</v>
      </c>
      <c r="C59" s="1" t="str">
        <f t="shared" si="0"/>
        <v>May</v>
      </c>
      <c r="D59" t="s">
        <v>15</v>
      </c>
      <c r="E59" t="s">
        <v>28</v>
      </c>
      <c r="F59" t="s">
        <v>12</v>
      </c>
      <c r="G59" t="s">
        <v>13</v>
      </c>
      <c r="H59">
        <v>5</v>
      </c>
      <c r="I59">
        <v>100</v>
      </c>
      <c r="J59">
        <v>500</v>
      </c>
    </row>
    <row r="60" spans="1:10">
      <c r="A60" t="s">
        <v>87</v>
      </c>
      <c r="B60" s="1">
        <v>46066</v>
      </c>
      <c r="C60" s="1" t="str">
        <f t="shared" si="0"/>
        <v>Feb</v>
      </c>
      <c r="D60" t="s">
        <v>10</v>
      </c>
      <c r="E60" t="s">
        <v>19</v>
      </c>
      <c r="F60" t="s">
        <v>23</v>
      </c>
      <c r="G60" t="s">
        <v>17</v>
      </c>
      <c r="H60">
        <v>2</v>
      </c>
      <c r="I60">
        <v>700</v>
      </c>
      <c r="J60">
        <v>1400</v>
      </c>
    </row>
    <row r="61" spans="1:10">
      <c r="A61" t="s">
        <v>88</v>
      </c>
      <c r="B61" s="1">
        <v>46089</v>
      </c>
      <c r="C61" s="1" t="str">
        <f t="shared" si="0"/>
        <v>Mar</v>
      </c>
      <c r="D61" t="s">
        <v>15</v>
      </c>
      <c r="E61" t="s">
        <v>28</v>
      </c>
      <c r="F61" t="s">
        <v>12</v>
      </c>
      <c r="G61" t="s">
        <v>13</v>
      </c>
      <c r="H61">
        <v>15</v>
      </c>
      <c r="I61">
        <v>100</v>
      </c>
      <c r="J61">
        <v>1500</v>
      </c>
    </row>
    <row r="62" spans="1:10">
      <c r="A62" t="s">
        <v>89</v>
      </c>
      <c r="B62" s="1">
        <v>46193</v>
      </c>
      <c r="C62" s="1" t="str">
        <f t="shared" si="0"/>
        <v>Jun</v>
      </c>
      <c r="D62" t="s">
        <v>10</v>
      </c>
      <c r="E62" t="s">
        <v>21</v>
      </c>
      <c r="F62" t="s">
        <v>16</v>
      </c>
      <c r="G62" t="s">
        <v>17</v>
      </c>
      <c r="H62">
        <v>15</v>
      </c>
      <c r="I62">
        <v>55000</v>
      </c>
      <c r="J62">
        <v>825000</v>
      </c>
    </row>
    <row r="63" spans="1:10">
      <c r="A63" t="s">
        <v>90</v>
      </c>
      <c r="B63" s="1">
        <v>46116</v>
      </c>
      <c r="C63" s="1" t="str">
        <f t="shared" si="0"/>
        <v>Apr</v>
      </c>
      <c r="D63" t="s">
        <v>36</v>
      </c>
      <c r="E63" t="s">
        <v>11</v>
      </c>
      <c r="F63" t="s">
        <v>32</v>
      </c>
      <c r="G63" t="s">
        <v>33</v>
      </c>
      <c r="H63">
        <v>2</v>
      </c>
      <c r="I63">
        <v>8000</v>
      </c>
      <c r="J63">
        <v>16000</v>
      </c>
    </row>
    <row r="64" spans="1:10">
      <c r="A64" t="s">
        <v>91</v>
      </c>
      <c r="B64" s="1">
        <v>46067</v>
      </c>
      <c r="C64" s="1" t="str">
        <f t="shared" si="0"/>
        <v>Feb</v>
      </c>
      <c r="D64" t="s">
        <v>15</v>
      </c>
      <c r="E64" t="s">
        <v>19</v>
      </c>
      <c r="F64" t="s">
        <v>16</v>
      </c>
      <c r="G64" t="s">
        <v>17</v>
      </c>
      <c r="H64">
        <v>1</v>
      </c>
      <c r="I64">
        <v>55000</v>
      </c>
      <c r="J64">
        <v>55000</v>
      </c>
    </row>
    <row r="65" spans="1:10">
      <c r="A65" t="s">
        <v>92</v>
      </c>
      <c r="B65" s="1">
        <v>46032</v>
      </c>
      <c r="C65" s="1" t="str">
        <f t="shared" si="0"/>
        <v>Jan</v>
      </c>
      <c r="D65" t="s">
        <v>27</v>
      </c>
      <c r="E65" t="s">
        <v>25</v>
      </c>
      <c r="F65" t="s">
        <v>12</v>
      </c>
      <c r="G65" t="s">
        <v>13</v>
      </c>
      <c r="H65">
        <v>14</v>
      </c>
      <c r="I65">
        <v>100</v>
      </c>
      <c r="J65">
        <v>1400</v>
      </c>
    </row>
    <row r="66" spans="1:10">
      <c r="A66" t="s">
        <v>93</v>
      </c>
      <c r="B66" s="1">
        <v>46036</v>
      </c>
      <c r="C66" s="1" t="str">
        <f t="shared" si="0"/>
        <v>Jan</v>
      </c>
      <c r="D66" t="s">
        <v>15</v>
      </c>
      <c r="E66" t="s">
        <v>21</v>
      </c>
      <c r="F66" t="s">
        <v>39</v>
      </c>
      <c r="G66" t="s">
        <v>33</v>
      </c>
      <c r="H66">
        <v>13</v>
      </c>
      <c r="I66">
        <v>4500</v>
      </c>
      <c r="J66">
        <v>58500</v>
      </c>
    </row>
    <row r="67" spans="1:10">
      <c r="A67" t="s">
        <v>94</v>
      </c>
      <c r="B67" s="1">
        <v>46100</v>
      </c>
      <c r="C67" s="1" t="str">
        <f t="shared" ref="C67:C101" si="1">TEXT(B67,"mmm")</f>
        <v>Mar</v>
      </c>
      <c r="D67" t="s">
        <v>31</v>
      </c>
      <c r="E67" t="s">
        <v>25</v>
      </c>
      <c r="F67" t="s">
        <v>23</v>
      </c>
      <c r="G67" t="s">
        <v>17</v>
      </c>
      <c r="H67">
        <v>11</v>
      </c>
      <c r="I67">
        <v>700</v>
      </c>
      <c r="J67">
        <v>7700</v>
      </c>
    </row>
    <row r="68" spans="1:10">
      <c r="A68" t="s">
        <v>95</v>
      </c>
      <c r="B68" s="1">
        <v>46053</v>
      </c>
      <c r="C68" s="1" t="str">
        <f t="shared" si="1"/>
        <v>Jan</v>
      </c>
      <c r="D68" t="s">
        <v>27</v>
      </c>
      <c r="E68" t="s">
        <v>47</v>
      </c>
      <c r="F68" t="s">
        <v>29</v>
      </c>
      <c r="G68" t="s">
        <v>17</v>
      </c>
      <c r="H68">
        <v>7</v>
      </c>
      <c r="I68">
        <v>1200</v>
      </c>
      <c r="J68">
        <v>8400</v>
      </c>
    </row>
    <row r="69" spans="1:10">
      <c r="A69" t="s">
        <v>96</v>
      </c>
      <c r="B69" s="1">
        <v>46063</v>
      </c>
      <c r="C69" s="1" t="str">
        <f t="shared" si="1"/>
        <v>Feb</v>
      </c>
      <c r="D69" t="s">
        <v>15</v>
      </c>
      <c r="E69" t="s">
        <v>21</v>
      </c>
      <c r="F69" t="s">
        <v>16</v>
      </c>
      <c r="G69" t="s">
        <v>17</v>
      </c>
      <c r="H69">
        <v>11</v>
      </c>
      <c r="I69">
        <v>55000</v>
      </c>
      <c r="J69">
        <v>605000</v>
      </c>
    </row>
    <row r="70" spans="1:10">
      <c r="A70" t="s">
        <v>97</v>
      </c>
      <c r="B70" s="1">
        <v>46142</v>
      </c>
      <c r="C70" s="1" t="str">
        <f t="shared" si="1"/>
        <v>Apr</v>
      </c>
      <c r="D70" t="s">
        <v>36</v>
      </c>
      <c r="E70" t="s">
        <v>11</v>
      </c>
      <c r="F70" t="s">
        <v>16</v>
      </c>
      <c r="G70" t="s">
        <v>17</v>
      </c>
      <c r="H70">
        <v>8</v>
      </c>
      <c r="I70">
        <v>55000</v>
      </c>
      <c r="J70">
        <v>440000</v>
      </c>
    </row>
    <row r="71" spans="1:10">
      <c r="A71" t="s">
        <v>98</v>
      </c>
      <c r="B71" s="1">
        <v>46149</v>
      </c>
      <c r="C71" s="1" t="str">
        <f t="shared" si="1"/>
        <v>May</v>
      </c>
      <c r="D71" t="s">
        <v>36</v>
      </c>
      <c r="E71" t="s">
        <v>25</v>
      </c>
      <c r="F71" t="s">
        <v>16</v>
      </c>
      <c r="G71" t="s">
        <v>17</v>
      </c>
      <c r="H71">
        <v>5</v>
      </c>
      <c r="I71">
        <v>55000</v>
      </c>
      <c r="J71">
        <v>275000</v>
      </c>
    </row>
    <row r="72" spans="1:10">
      <c r="A72" t="s">
        <v>99</v>
      </c>
      <c r="B72" s="1">
        <v>46173</v>
      </c>
      <c r="C72" s="1" t="str">
        <f t="shared" si="1"/>
        <v>May</v>
      </c>
      <c r="D72" t="s">
        <v>15</v>
      </c>
      <c r="E72" t="s">
        <v>19</v>
      </c>
      <c r="F72" t="s">
        <v>39</v>
      </c>
      <c r="G72" t="s">
        <v>33</v>
      </c>
      <c r="H72">
        <v>13</v>
      </c>
      <c r="I72">
        <v>4500</v>
      </c>
      <c r="J72">
        <v>58500</v>
      </c>
    </row>
    <row r="73" spans="1:10">
      <c r="A73" t="s">
        <v>100</v>
      </c>
      <c r="B73" s="1">
        <v>46189</v>
      </c>
      <c r="C73" s="1" t="str">
        <f t="shared" si="1"/>
        <v>Jun</v>
      </c>
      <c r="D73" t="s">
        <v>36</v>
      </c>
      <c r="E73" t="s">
        <v>11</v>
      </c>
      <c r="F73" t="s">
        <v>29</v>
      </c>
      <c r="G73" t="s">
        <v>17</v>
      </c>
      <c r="H73">
        <v>10</v>
      </c>
      <c r="I73">
        <v>1200</v>
      </c>
      <c r="J73">
        <v>12000</v>
      </c>
    </row>
    <row r="74" spans="1:10">
      <c r="A74" t="s">
        <v>101</v>
      </c>
      <c r="B74" s="1">
        <v>46170</v>
      </c>
      <c r="C74" s="1" t="str">
        <f t="shared" si="1"/>
        <v>May</v>
      </c>
      <c r="D74" t="s">
        <v>15</v>
      </c>
      <c r="E74" t="s">
        <v>28</v>
      </c>
      <c r="F74" t="s">
        <v>12</v>
      </c>
      <c r="G74" t="s">
        <v>13</v>
      </c>
      <c r="H74">
        <v>8</v>
      </c>
      <c r="I74">
        <v>100</v>
      </c>
      <c r="J74">
        <v>800</v>
      </c>
    </row>
    <row r="75" spans="1:10">
      <c r="A75" t="s">
        <v>102</v>
      </c>
      <c r="B75" s="1">
        <v>46101</v>
      </c>
      <c r="C75" s="1" t="str">
        <f t="shared" si="1"/>
        <v>Mar</v>
      </c>
      <c r="D75" t="s">
        <v>10</v>
      </c>
      <c r="E75" t="s">
        <v>28</v>
      </c>
      <c r="F75" t="s">
        <v>23</v>
      </c>
      <c r="G75" t="s">
        <v>17</v>
      </c>
      <c r="H75">
        <v>12</v>
      </c>
      <c r="I75">
        <v>700</v>
      </c>
      <c r="J75">
        <v>8400</v>
      </c>
    </row>
    <row r="76" spans="1:10">
      <c r="A76" t="s">
        <v>103</v>
      </c>
      <c r="B76" s="1">
        <v>46097</v>
      </c>
      <c r="C76" s="1" t="str">
        <f t="shared" si="1"/>
        <v>Mar</v>
      </c>
      <c r="D76" t="s">
        <v>10</v>
      </c>
      <c r="E76" t="s">
        <v>21</v>
      </c>
      <c r="F76" t="s">
        <v>12</v>
      </c>
      <c r="G76" t="s">
        <v>13</v>
      </c>
      <c r="H76">
        <v>3</v>
      </c>
      <c r="I76">
        <v>100</v>
      </c>
      <c r="J76">
        <v>300</v>
      </c>
    </row>
    <row r="77" spans="1:10">
      <c r="A77" t="s">
        <v>104</v>
      </c>
      <c r="B77" s="1">
        <v>46065</v>
      </c>
      <c r="C77" s="1" t="str">
        <f t="shared" si="1"/>
        <v>Feb</v>
      </c>
      <c r="D77" t="s">
        <v>36</v>
      </c>
      <c r="E77" t="s">
        <v>25</v>
      </c>
      <c r="F77" t="s">
        <v>12</v>
      </c>
      <c r="G77" t="s">
        <v>13</v>
      </c>
      <c r="H77">
        <v>10</v>
      </c>
      <c r="I77">
        <v>100</v>
      </c>
      <c r="J77">
        <v>1000</v>
      </c>
    </row>
    <row r="78" spans="1:10">
      <c r="A78" t="s">
        <v>105</v>
      </c>
      <c r="B78" s="1">
        <v>46156</v>
      </c>
      <c r="C78" s="1" t="str">
        <f t="shared" si="1"/>
        <v>May</v>
      </c>
      <c r="D78" t="s">
        <v>15</v>
      </c>
      <c r="E78" t="s">
        <v>19</v>
      </c>
      <c r="F78" t="s">
        <v>12</v>
      </c>
      <c r="G78" t="s">
        <v>13</v>
      </c>
      <c r="H78">
        <v>15</v>
      </c>
      <c r="I78">
        <v>100</v>
      </c>
      <c r="J78">
        <v>1500</v>
      </c>
    </row>
    <row r="79" spans="1:10">
      <c r="A79" t="s">
        <v>106</v>
      </c>
      <c r="B79" s="1">
        <v>46158</v>
      </c>
      <c r="C79" s="1" t="str">
        <f t="shared" si="1"/>
        <v>May</v>
      </c>
      <c r="D79" t="s">
        <v>36</v>
      </c>
      <c r="E79" t="s">
        <v>47</v>
      </c>
      <c r="F79" t="s">
        <v>16</v>
      </c>
      <c r="G79" t="s">
        <v>17</v>
      </c>
      <c r="H79">
        <v>12</v>
      </c>
      <c r="I79">
        <v>55000</v>
      </c>
      <c r="J79">
        <v>660000</v>
      </c>
    </row>
    <row r="80" spans="1:10">
      <c r="A80" t="s">
        <v>107</v>
      </c>
      <c r="B80" s="1">
        <v>46094</v>
      </c>
      <c r="C80" s="1" t="str">
        <f t="shared" si="1"/>
        <v>Mar</v>
      </c>
      <c r="D80" t="s">
        <v>31</v>
      </c>
      <c r="E80" t="s">
        <v>25</v>
      </c>
      <c r="F80" t="s">
        <v>16</v>
      </c>
      <c r="G80" t="s">
        <v>17</v>
      </c>
      <c r="H80">
        <v>14</v>
      </c>
      <c r="I80">
        <v>55000</v>
      </c>
      <c r="J80">
        <v>770000</v>
      </c>
    </row>
    <row r="81" spans="1:10">
      <c r="A81" t="s">
        <v>108</v>
      </c>
      <c r="B81" s="1">
        <v>46090</v>
      </c>
      <c r="C81" s="1" t="str">
        <f t="shared" si="1"/>
        <v>Mar</v>
      </c>
      <c r="D81" t="s">
        <v>31</v>
      </c>
      <c r="E81" t="s">
        <v>25</v>
      </c>
      <c r="F81" t="s">
        <v>32</v>
      </c>
      <c r="G81" t="s">
        <v>33</v>
      </c>
      <c r="H81">
        <v>1</v>
      </c>
      <c r="I81">
        <v>8000</v>
      </c>
      <c r="J81">
        <v>8000</v>
      </c>
    </row>
    <row r="82" spans="1:10">
      <c r="A82" t="s">
        <v>109</v>
      </c>
      <c r="B82" s="1">
        <v>46087</v>
      </c>
      <c r="C82" s="1" t="str">
        <f t="shared" si="1"/>
        <v>Mar</v>
      </c>
      <c r="D82" t="s">
        <v>27</v>
      </c>
      <c r="E82" t="s">
        <v>28</v>
      </c>
      <c r="F82" t="s">
        <v>23</v>
      </c>
      <c r="G82" t="s">
        <v>17</v>
      </c>
      <c r="H82">
        <v>13</v>
      </c>
      <c r="I82">
        <v>700</v>
      </c>
      <c r="J82">
        <v>9100</v>
      </c>
    </row>
    <row r="83" spans="1:10">
      <c r="A83" t="s">
        <v>110</v>
      </c>
      <c r="B83" s="1">
        <v>46171</v>
      </c>
      <c r="C83" s="1" t="str">
        <f t="shared" si="1"/>
        <v>May</v>
      </c>
      <c r="D83" t="s">
        <v>36</v>
      </c>
      <c r="E83" t="s">
        <v>28</v>
      </c>
      <c r="F83" t="s">
        <v>29</v>
      </c>
      <c r="G83" t="s">
        <v>17</v>
      </c>
      <c r="H83">
        <v>15</v>
      </c>
      <c r="I83">
        <v>1200</v>
      </c>
      <c r="J83">
        <v>18000</v>
      </c>
    </row>
    <row r="84" spans="1:10">
      <c r="A84" t="s">
        <v>111</v>
      </c>
      <c r="B84" s="1">
        <v>46112</v>
      </c>
      <c r="C84" s="1" t="str">
        <f t="shared" si="1"/>
        <v>Mar</v>
      </c>
      <c r="D84" t="s">
        <v>27</v>
      </c>
      <c r="E84" t="s">
        <v>11</v>
      </c>
      <c r="F84" t="s">
        <v>16</v>
      </c>
      <c r="G84" t="s">
        <v>17</v>
      </c>
      <c r="H84">
        <v>7</v>
      </c>
      <c r="I84">
        <v>55000</v>
      </c>
      <c r="J84">
        <v>385000</v>
      </c>
    </row>
    <row r="85" spans="1:10">
      <c r="A85" t="s">
        <v>112</v>
      </c>
      <c r="B85" s="1">
        <v>46068</v>
      </c>
      <c r="C85" s="1" t="str">
        <f t="shared" si="1"/>
        <v>Feb</v>
      </c>
      <c r="D85" t="s">
        <v>10</v>
      </c>
      <c r="E85" t="s">
        <v>47</v>
      </c>
      <c r="F85" t="s">
        <v>29</v>
      </c>
      <c r="G85" t="s">
        <v>17</v>
      </c>
      <c r="H85">
        <v>2</v>
      </c>
      <c r="I85">
        <v>1200</v>
      </c>
      <c r="J85">
        <v>2400</v>
      </c>
    </row>
    <row r="86" spans="1:10">
      <c r="A86" t="s">
        <v>113</v>
      </c>
      <c r="B86" s="1">
        <v>46034</v>
      </c>
      <c r="C86" s="1" t="str">
        <f t="shared" si="1"/>
        <v>Jan</v>
      </c>
      <c r="D86" t="s">
        <v>36</v>
      </c>
      <c r="E86" t="s">
        <v>11</v>
      </c>
      <c r="F86" t="s">
        <v>23</v>
      </c>
      <c r="G86" t="s">
        <v>17</v>
      </c>
      <c r="H86">
        <v>11</v>
      </c>
      <c r="I86">
        <v>700</v>
      </c>
      <c r="J86">
        <v>7700</v>
      </c>
    </row>
    <row r="87" spans="1:10">
      <c r="A87" t="s">
        <v>114</v>
      </c>
      <c r="B87" s="1">
        <v>46195</v>
      </c>
      <c r="C87" s="1" t="str">
        <f t="shared" si="1"/>
        <v>Jun</v>
      </c>
      <c r="D87" t="s">
        <v>36</v>
      </c>
      <c r="E87" t="s">
        <v>28</v>
      </c>
      <c r="F87" t="s">
        <v>16</v>
      </c>
      <c r="G87" t="s">
        <v>17</v>
      </c>
      <c r="H87">
        <v>4</v>
      </c>
      <c r="I87">
        <v>55000</v>
      </c>
      <c r="J87">
        <v>220000</v>
      </c>
    </row>
    <row r="88" spans="1:10">
      <c r="A88" t="s">
        <v>115</v>
      </c>
      <c r="B88" s="1">
        <v>46092</v>
      </c>
      <c r="C88" s="1" t="str">
        <f t="shared" si="1"/>
        <v>Mar</v>
      </c>
      <c r="D88" t="s">
        <v>31</v>
      </c>
      <c r="E88" t="s">
        <v>11</v>
      </c>
      <c r="F88" t="s">
        <v>16</v>
      </c>
      <c r="G88" t="s">
        <v>17</v>
      </c>
      <c r="H88">
        <v>7</v>
      </c>
      <c r="I88">
        <v>55000</v>
      </c>
      <c r="J88">
        <v>385000</v>
      </c>
    </row>
    <row r="89" spans="1:10">
      <c r="A89" t="s">
        <v>116</v>
      </c>
      <c r="B89" s="1">
        <v>46075</v>
      </c>
      <c r="C89" s="1" t="str">
        <f t="shared" si="1"/>
        <v>Feb</v>
      </c>
      <c r="D89" t="s">
        <v>10</v>
      </c>
      <c r="E89" t="s">
        <v>11</v>
      </c>
      <c r="F89" t="s">
        <v>12</v>
      </c>
      <c r="G89" t="s">
        <v>13</v>
      </c>
      <c r="H89">
        <v>14</v>
      </c>
      <c r="I89">
        <v>100</v>
      </c>
      <c r="J89">
        <v>1400</v>
      </c>
    </row>
    <row r="90" spans="1:10">
      <c r="A90" t="s">
        <v>117</v>
      </c>
      <c r="B90" s="1">
        <v>46179</v>
      </c>
      <c r="C90" s="1" t="str">
        <f t="shared" si="1"/>
        <v>Jun</v>
      </c>
      <c r="D90" t="s">
        <v>15</v>
      </c>
      <c r="E90" t="s">
        <v>28</v>
      </c>
      <c r="F90" t="s">
        <v>23</v>
      </c>
      <c r="G90" t="s">
        <v>17</v>
      </c>
      <c r="H90">
        <v>5</v>
      </c>
      <c r="I90">
        <v>700</v>
      </c>
      <c r="J90">
        <v>3500</v>
      </c>
    </row>
    <row r="91" spans="1:10">
      <c r="A91" t="s">
        <v>118</v>
      </c>
      <c r="B91" s="1">
        <v>46119</v>
      </c>
      <c r="C91" s="1" t="str">
        <f t="shared" si="1"/>
        <v>Apr</v>
      </c>
      <c r="D91" t="s">
        <v>27</v>
      </c>
      <c r="E91" t="s">
        <v>21</v>
      </c>
      <c r="F91" t="s">
        <v>32</v>
      </c>
      <c r="G91" t="s">
        <v>33</v>
      </c>
      <c r="H91">
        <v>8</v>
      </c>
      <c r="I91">
        <v>8000</v>
      </c>
      <c r="J91">
        <v>64000</v>
      </c>
    </row>
    <row r="92" spans="1:10">
      <c r="A92" t="s">
        <v>119</v>
      </c>
      <c r="B92" s="1">
        <v>46144</v>
      </c>
      <c r="C92" s="1" t="str">
        <f t="shared" si="1"/>
        <v>May</v>
      </c>
      <c r="D92" t="s">
        <v>36</v>
      </c>
      <c r="E92" t="s">
        <v>47</v>
      </c>
      <c r="F92" t="s">
        <v>16</v>
      </c>
      <c r="G92" t="s">
        <v>17</v>
      </c>
      <c r="H92">
        <v>3</v>
      </c>
      <c r="I92">
        <v>55000</v>
      </c>
      <c r="J92">
        <v>165000</v>
      </c>
    </row>
    <row r="93" spans="1:10">
      <c r="A93" t="s">
        <v>120</v>
      </c>
      <c r="B93" s="1">
        <v>46026</v>
      </c>
      <c r="C93" s="1" t="str">
        <f t="shared" si="1"/>
        <v>Jan</v>
      </c>
      <c r="D93" t="s">
        <v>36</v>
      </c>
      <c r="E93" t="s">
        <v>19</v>
      </c>
      <c r="F93" t="s">
        <v>12</v>
      </c>
      <c r="G93" t="s">
        <v>13</v>
      </c>
      <c r="H93">
        <v>3</v>
      </c>
      <c r="I93">
        <v>100</v>
      </c>
      <c r="J93">
        <v>300</v>
      </c>
    </row>
    <row r="94" spans="1:10">
      <c r="A94" t="s">
        <v>121</v>
      </c>
      <c r="B94" s="1">
        <v>46201</v>
      </c>
      <c r="C94" s="1" t="str">
        <f t="shared" si="1"/>
        <v>Jun</v>
      </c>
      <c r="D94" t="s">
        <v>10</v>
      </c>
      <c r="E94" t="s">
        <v>28</v>
      </c>
      <c r="F94" t="s">
        <v>39</v>
      </c>
      <c r="G94" t="s">
        <v>33</v>
      </c>
      <c r="H94">
        <v>7</v>
      </c>
      <c r="I94">
        <v>4500</v>
      </c>
      <c r="J94">
        <v>31500</v>
      </c>
    </row>
    <row r="95" spans="1:10">
      <c r="A95" t="s">
        <v>122</v>
      </c>
      <c r="B95" s="1">
        <v>46109</v>
      </c>
      <c r="C95" s="1" t="str">
        <f t="shared" si="1"/>
        <v>Mar</v>
      </c>
      <c r="D95" t="s">
        <v>15</v>
      </c>
      <c r="E95" t="s">
        <v>21</v>
      </c>
      <c r="F95" t="s">
        <v>39</v>
      </c>
      <c r="G95" t="s">
        <v>33</v>
      </c>
      <c r="H95">
        <v>10</v>
      </c>
      <c r="I95">
        <v>4500</v>
      </c>
      <c r="J95">
        <v>45000</v>
      </c>
    </row>
    <row r="96" spans="1:10">
      <c r="A96" t="s">
        <v>123</v>
      </c>
      <c r="B96" s="1">
        <v>46128</v>
      </c>
      <c r="C96" s="1" t="str">
        <f t="shared" si="1"/>
        <v>Apr</v>
      </c>
      <c r="D96" t="s">
        <v>31</v>
      </c>
      <c r="E96" t="s">
        <v>25</v>
      </c>
      <c r="F96" t="s">
        <v>16</v>
      </c>
      <c r="G96" t="s">
        <v>17</v>
      </c>
      <c r="H96">
        <v>5</v>
      </c>
      <c r="I96">
        <v>55000</v>
      </c>
      <c r="J96">
        <v>275000</v>
      </c>
    </row>
    <row r="97" spans="1:10">
      <c r="A97" t="s">
        <v>124</v>
      </c>
      <c r="B97" s="1">
        <v>46197</v>
      </c>
      <c r="C97" s="1" t="str">
        <f t="shared" si="1"/>
        <v>Jun</v>
      </c>
      <c r="D97" t="s">
        <v>27</v>
      </c>
      <c r="E97" t="s">
        <v>28</v>
      </c>
      <c r="F97" t="s">
        <v>32</v>
      </c>
      <c r="G97" t="s">
        <v>33</v>
      </c>
      <c r="H97">
        <v>15</v>
      </c>
      <c r="I97">
        <v>8000</v>
      </c>
      <c r="J97">
        <v>120000</v>
      </c>
    </row>
    <row r="98" spans="1:10">
      <c r="A98" t="s">
        <v>125</v>
      </c>
      <c r="B98" s="1">
        <v>46172</v>
      </c>
      <c r="C98" s="1" t="str">
        <f t="shared" si="1"/>
        <v>May</v>
      </c>
      <c r="D98" t="s">
        <v>31</v>
      </c>
      <c r="E98" t="s">
        <v>19</v>
      </c>
      <c r="F98" t="s">
        <v>16</v>
      </c>
      <c r="G98" t="s">
        <v>17</v>
      </c>
      <c r="H98">
        <v>2</v>
      </c>
      <c r="I98">
        <v>55000</v>
      </c>
      <c r="J98">
        <v>110000</v>
      </c>
    </row>
    <row r="99" spans="1:10">
      <c r="A99" t="s">
        <v>126</v>
      </c>
      <c r="B99" s="1">
        <v>46194</v>
      </c>
      <c r="C99" s="1" t="str">
        <f t="shared" si="1"/>
        <v>Jun</v>
      </c>
      <c r="D99" t="s">
        <v>27</v>
      </c>
      <c r="E99" t="s">
        <v>47</v>
      </c>
      <c r="F99" t="s">
        <v>29</v>
      </c>
      <c r="G99" t="s">
        <v>17</v>
      </c>
      <c r="H99">
        <v>2</v>
      </c>
      <c r="I99">
        <v>1200</v>
      </c>
      <c r="J99">
        <v>2400</v>
      </c>
    </row>
    <row r="100" spans="1:10">
      <c r="A100" t="s">
        <v>127</v>
      </c>
      <c r="B100" s="1">
        <v>46140</v>
      </c>
      <c r="C100" s="1" t="str">
        <f t="shared" si="1"/>
        <v>Apr</v>
      </c>
      <c r="D100" t="s">
        <v>10</v>
      </c>
      <c r="E100" t="s">
        <v>21</v>
      </c>
      <c r="F100" t="s">
        <v>32</v>
      </c>
      <c r="G100" t="s">
        <v>33</v>
      </c>
      <c r="H100">
        <v>11</v>
      </c>
      <c r="I100">
        <v>8000</v>
      </c>
      <c r="J100">
        <v>88000</v>
      </c>
    </row>
    <row r="101" spans="1:10">
      <c r="A101" t="s">
        <v>128</v>
      </c>
      <c r="B101" s="1">
        <v>46145</v>
      </c>
      <c r="C101" s="1" t="str">
        <f t="shared" si="1"/>
        <v>May</v>
      </c>
      <c r="D101" t="s">
        <v>27</v>
      </c>
      <c r="E101" t="s">
        <v>25</v>
      </c>
      <c r="F101" t="s">
        <v>32</v>
      </c>
      <c r="G101" t="s">
        <v>33</v>
      </c>
      <c r="H101">
        <v>11</v>
      </c>
      <c r="I101">
        <v>8000</v>
      </c>
      <c r="J101">
        <v>88000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activeCell="C16" sqref="C16"/>
    </sheetView>
  </sheetViews>
  <sheetFormatPr defaultRowHeight="15"/>
  <cols>
    <col min="1" max="1" width="13.140625" bestFit="1" customWidth="1"/>
    <col min="2" max="2" width="17.85546875" bestFit="1" customWidth="1"/>
    <col min="4" max="4" width="13.140625" bestFit="1" customWidth="1"/>
    <col min="5" max="5" width="17.85546875" bestFit="1" customWidth="1"/>
  </cols>
  <sheetData>
    <row r="1" spans="1:5">
      <c r="D1" s="2" t="s">
        <v>8</v>
      </c>
      <c r="E1" t="s">
        <v>133</v>
      </c>
    </row>
    <row r="3" spans="1:5">
      <c r="A3" s="2" t="s">
        <v>130</v>
      </c>
      <c r="B3" t="s">
        <v>132</v>
      </c>
      <c r="D3" s="2" t="s">
        <v>130</v>
      </c>
      <c r="E3" t="s">
        <v>132</v>
      </c>
    </row>
    <row r="4" spans="1:5">
      <c r="A4" s="3" t="s">
        <v>15</v>
      </c>
      <c r="B4" s="4">
        <v>1958800</v>
      </c>
      <c r="D4" s="3" t="s">
        <v>16</v>
      </c>
      <c r="E4" s="4">
        <v>8085000</v>
      </c>
    </row>
    <row r="5" spans="1:5">
      <c r="A5" s="3" t="s">
        <v>31</v>
      </c>
      <c r="B5" s="4">
        <v>1806100</v>
      </c>
      <c r="D5" s="3" t="s">
        <v>32</v>
      </c>
      <c r="E5" s="4">
        <v>968000</v>
      </c>
    </row>
    <row r="6" spans="1:5">
      <c r="A6" s="3" t="s">
        <v>36</v>
      </c>
      <c r="B6" s="4">
        <v>2586800</v>
      </c>
      <c r="D6" s="3" t="s">
        <v>39</v>
      </c>
      <c r="E6" s="4">
        <v>472500</v>
      </c>
    </row>
    <row r="7" spans="1:5">
      <c r="A7" s="3" t="s">
        <v>27</v>
      </c>
      <c r="B7" s="4">
        <v>958200</v>
      </c>
      <c r="D7" s="3" t="s">
        <v>29</v>
      </c>
      <c r="E7" s="4">
        <v>122400</v>
      </c>
    </row>
    <row r="8" spans="1:5">
      <c r="A8" s="3" t="s">
        <v>10</v>
      </c>
      <c r="B8" s="4">
        <v>2459500</v>
      </c>
      <c r="D8" s="3" t="s">
        <v>23</v>
      </c>
      <c r="E8" s="4">
        <v>105700</v>
      </c>
    </row>
    <row r="9" spans="1:5">
      <c r="A9" s="3" t="s">
        <v>131</v>
      </c>
      <c r="B9" s="4">
        <v>9769400</v>
      </c>
      <c r="D9" s="3" t="s">
        <v>12</v>
      </c>
      <c r="E9" s="4">
        <v>15800</v>
      </c>
    </row>
    <row r="10" spans="1:5">
      <c r="D10" s="3" t="s">
        <v>131</v>
      </c>
      <c r="E10" s="4">
        <v>9769400</v>
      </c>
    </row>
  </sheetData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3:B10"/>
  <sheetViews>
    <sheetView topLeftCell="A3" workbookViewId="0">
      <selection activeCell="E26" sqref="E26:F26"/>
    </sheetView>
  </sheetViews>
  <sheetFormatPr defaultRowHeight="15"/>
  <cols>
    <col min="1" max="1" width="13.140625" bestFit="1" customWidth="1"/>
    <col min="2" max="2" width="17.85546875" bestFit="1" customWidth="1"/>
  </cols>
  <sheetData>
    <row r="3" spans="1:2">
      <c r="A3" s="2" t="s">
        <v>130</v>
      </c>
      <c r="B3" t="s">
        <v>132</v>
      </c>
    </row>
    <row r="4" spans="1:2">
      <c r="A4" s="5" t="s">
        <v>135</v>
      </c>
      <c r="B4" s="4">
        <v>489100</v>
      </c>
    </row>
    <row r="5" spans="1:2">
      <c r="A5" s="5" t="s">
        <v>136</v>
      </c>
      <c r="B5" s="4">
        <v>1467700</v>
      </c>
    </row>
    <row r="6" spans="1:2">
      <c r="A6" s="5" t="s">
        <v>137</v>
      </c>
      <c r="B6" s="4">
        <v>2414300</v>
      </c>
    </row>
    <row r="7" spans="1:2">
      <c r="A7" s="5" t="s">
        <v>138</v>
      </c>
      <c r="B7" s="4">
        <v>1095400</v>
      </c>
    </row>
    <row r="8" spans="1:2">
      <c r="A8" s="5" t="s">
        <v>139</v>
      </c>
      <c r="B8" s="4">
        <v>2904000</v>
      </c>
    </row>
    <row r="9" spans="1:2">
      <c r="A9" s="5" t="s">
        <v>140</v>
      </c>
      <c r="B9" s="4">
        <v>1398900</v>
      </c>
    </row>
    <row r="10" spans="1:2">
      <c r="A10" s="5" t="s">
        <v>131</v>
      </c>
      <c r="B10" s="4">
        <v>9769400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selection activeCell="N4" sqref="N4"/>
    </sheetView>
  </sheetViews>
  <sheetFormatPr defaultRowHeight="15"/>
  <cols>
    <col min="1" max="2" width="18" bestFit="1" customWidth="1"/>
    <col min="3" max="3" width="13.5703125" bestFit="1" customWidth="1"/>
    <col min="5" max="5" width="7.28515625" bestFit="1" customWidth="1"/>
    <col min="7" max="7" width="10.42578125" customWidth="1"/>
    <col min="8" max="8" width="8.5703125" customWidth="1"/>
  </cols>
  <sheetData>
    <row r="1" spans="1:11" ht="33.75">
      <c r="A1" s="7" t="s">
        <v>141</v>
      </c>
      <c r="B1" s="7"/>
      <c r="C1" s="7"/>
      <c r="D1" s="7"/>
      <c r="E1" s="7"/>
      <c r="F1" s="7"/>
    </row>
    <row r="3" spans="1:11" ht="18.75">
      <c r="A3" s="8" t="s">
        <v>142</v>
      </c>
      <c r="C3" s="10" t="s">
        <v>143</v>
      </c>
      <c r="E3" s="11" t="s">
        <v>144</v>
      </c>
      <c r="F3" s="11"/>
    </row>
    <row r="4" spans="1:11" ht="15.75">
      <c r="A4" s="6">
        <f>Sales_Data!K2</f>
        <v>9769400</v>
      </c>
      <c r="C4" s="9" t="s">
        <v>15</v>
      </c>
      <c r="E4" s="9" t="s">
        <v>16</v>
      </c>
      <c r="G4" s="3"/>
      <c r="H4" s="4"/>
    </row>
    <row r="5" spans="1:11">
      <c r="G5" s="3"/>
      <c r="H5" s="4"/>
    </row>
    <row r="6" spans="1:11" ht="23.25">
      <c r="A6" s="12" t="s">
        <v>145</v>
      </c>
      <c r="B6" s="12"/>
      <c r="C6" s="12"/>
      <c r="G6" s="3"/>
      <c r="H6" s="13" t="s">
        <v>146</v>
      </c>
      <c r="I6" s="13"/>
      <c r="J6" s="13"/>
      <c r="K6" s="13"/>
    </row>
    <row r="7" spans="1:11">
      <c r="G7" s="3"/>
      <c r="H7" s="4"/>
    </row>
    <row r="8" spans="1:11">
      <c r="G8" s="3"/>
      <c r="H8" s="4"/>
    </row>
    <row r="9" spans="1:11">
      <c r="G9" s="3"/>
      <c r="H9" s="4"/>
    </row>
  </sheetData>
  <mergeCells count="2">
    <mergeCell ref="A1:F1"/>
    <mergeCell ref="A6:C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Pivot-Tables</vt:lpstr>
      <vt:lpstr>Pivot table-mothly wise 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</cp:lastModifiedBy>
  <dcterms:created xsi:type="dcterms:W3CDTF">2026-06-22T05:43:44Z</dcterms:created>
  <dcterms:modified xsi:type="dcterms:W3CDTF">2026-07-04T06:23:45Z</dcterms:modified>
</cp:coreProperties>
</file>